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1411BB8E703AA2/Desktop/Documents/"/>
    </mc:Choice>
  </mc:AlternateContent>
  <xr:revisionPtr revIDLastSave="0" documentId="8_{D03E2398-0B7C-4E80-B861-F48FFC4351FE}" xr6:coauthVersionLast="47" xr6:coauthVersionMax="47" xr10:uidLastSave="{00000000-0000-0000-0000-000000000000}"/>
  <bookViews>
    <workbookView xWindow="-110" yWindow="-110" windowWidth="25820" windowHeight="15500" xr2:uid="{5ABBD10F-BFBF-4CED-ACC5-59C655B1615C}"/>
  </bookViews>
  <sheets>
    <sheet name="Product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3" i="1"/>
  <c r="D4" i="1"/>
  <c r="D5" i="1"/>
  <c r="D6" i="1"/>
  <c r="D7" i="1"/>
  <c r="D2" i="1"/>
  <c r="G2" i="2"/>
  <c r="I2" i="2"/>
  <c r="H3" i="2"/>
  <c r="H4" i="2"/>
  <c r="H5" i="2"/>
  <c r="H6" i="2"/>
  <c r="H7" i="2"/>
  <c r="H2" i="2"/>
  <c r="G3" i="2"/>
  <c r="G4" i="2"/>
  <c r="G5" i="2"/>
  <c r="G6" i="2"/>
  <c r="G7" i="2"/>
  <c r="F3" i="2"/>
  <c r="F4" i="2"/>
  <c r="F5" i="2"/>
  <c r="F6" i="2"/>
  <c r="F7" i="2"/>
  <c r="F2" i="2"/>
  <c r="E5" i="2"/>
  <c r="E6" i="2"/>
  <c r="E7" i="2"/>
  <c r="D3" i="2"/>
  <c r="E3" i="2" s="1"/>
  <c r="D4" i="2"/>
  <c r="E4" i="2" s="1"/>
  <c r="D5" i="2"/>
  <c r="D6" i="2"/>
  <c r="D7" i="2"/>
  <c r="D2" i="2"/>
  <c r="E2" i="2" s="1"/>
</calcChain>
</file>

<file path=xl/sharedStrings.xml><?xml version="1.0" encoding="utf-8"?>
<sst xmlns="http://schemas.openxmlformats.org/spreadsheetml/2006/main" count="27" uniqueCount="25">
  <si>
    <t>Product ID</t>
  </si>
  <si>
    <t>Quantity</t>
  </si>
  <si>
    <t>Price</t>
  </si>
  <si>
    <t>Total Price</t>
  </si>
  <si>
    <t>Product A</t>
  </si>
  <si>
    <t>Product C</t>
  </si>
  <si>
    <t>Product E</t>
  </si>
  <si>
    <t>Product F</t>
  </si>
  <si>
    <t>Product B</t>
  </si>
  <si>
    <t>Product D</t>
  </si>
  <si>
    <t>Orders ID</t>
  </si>
  <si>
    <t>Product Name</t>
  </si>
  <si>
    <t>Product</t>
  </si>
  <si>
    <t>1. Use VLOOKUP to find the product names for each ProductID in the Orders worksheet.</t>
  </si>
  <si>
    <t xml:space="preserve">2. Use VLOOKUP to find the price for each ProductID in the Orders worksheet, then calculate the TotalPrice by multiplying the Quantity by the Product Price. </t>
  </si>
  <si>
    <t xml:space="preserve">3. Use VLOOKUP to check if there are any ProductIDs in the Orders worksheet that do not exist in the Products worksheet. </t>
  </si>
  <si>
    <t xml:space="preserve">4. Assume a discount of 10% is given on all products. Use VLOOKUP to find the original price and then calculate the discounted price. 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</si>
  <si>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</si>
  <si>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</si>
  <si>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</si>
  <si>
    <t>Status</t>
  </si>
  <si>
    <t>Discounted Price</t>
  </si>
  <si>
    <t>Maximum Order Value</t>
  </si>
  <si>
    <t>Order Status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</si>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</sst>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5EFA-878E-423E-A8DD-2555ED3E1E6C}">
  <dimension ref="A1:G25"/>
  <sheetViews>
    <sheetView tabSelected="1" workbookViewId="0">
      <selection activeCell="E26" sqref="E26"/>
    </sheetView>
  </sheetViews>
  <sheetFormatPr defaultRowHeight="14.5" x14ac:dyDescent="0.35"/>
  <cols>
    <col min="1" max="1" width="11.36328125" customWidth="1"/>
    <col min="2" max="2" width="10.453125" customWidth="1"/>
    <col min="4" max="4" width="13" customWidth="1"/>
    <col min="5" max="5" width="18.6328125" customWidth="1"/>
    <col min="6" max="6" width="9.36328125" customWidth="1"/>
    <col min="7" max="7" width="130" customWidth="1"/>
    <col min="8" max="8" width="15" customWidth="1"/>
  </cols>
  <sheetData>
    <row r="1" spans="1:5" x14ac:dyDescent="0.35">
      <c r="A1" t="s">
        <v>0</v>
      </c>
      <c r="B1" t="s">
        <v>12</v>
      </c>
      <c r="C1" t="s">
        <v>2</v>
      </c>
      <c r="D1" t="s">
        <v>23</v>
      </c>
      <c r="E1" t="s">
        <v>24</v>
      </c>
    </row>
    <row r="2" spans="1:5" x14ac:dyDescent="0.35">
      <c r="A2">
        <v>101</v>
      </c>
      <c r="B2" t="s">
        <v>4</v>
      </c>
      <c r="C2">
        <v>120</v>
      </c>
      <c r="D2" t="str">
        <f>IFERROR(IF(VLOOKUP(A2,Orders!$B$2:$B$7,1,0),"Ordered"),"Not Ordered")</f>
        <v>Ordered</v>
      </c>
      <c r="E2">
        <f>SUMIF(Orders!$B$2:$B$7,A2,Orders!$C$2:$C$7)</f>
        <v>2</v>
      </c>
    </row>
    <row r="3" spans="1:5" x14ac:dyDescent="0.35">
      <c r="A3">
        <v>103</v>
      </c>
      <c r="B3" t="s">
        <v>8</v>
      </c>
      <c r="C3">
        <v>150</v>
      </c>
      <c r="D3" t="str">
        <f>IFERROR(IF(VLOOKUP(A3,Orders!$B$2:$B$7,1,0),"Ordered"),"Not Ordered")</f>
        <v>Ordered</v>
      </c>
      <c r="E3">
        <f>SUMIF(Orders!$B$2:$B$7,A3,Orders!$C$2:$C$7)</f>
        <v>1</v>
      </c>
    </row>
    <row r="4" spans="1:5" x14ac:dyDescent="0.35">
      <c r="A4">
        <v>105</v>
      </c>
      <c r="B4" t="s">
        <v>5</v>
      </c>
      <c r="C4">
        <v>200</v>
      </c>
      <c r="D4" t="str">
        <f>IFERROR(IF(VLOOKUP(A4,Orders!$B$2:$B$7,1,0),"Ordered"),"Not Ordered")</f>
        <v>Ordered</v>
      </c>
      <c r="E4">
        <f>SUMIF(Orders!$B$2:$B$7,A4,Orders!$C$2:$C$7)</f>
        <v>4</v>
      </c>
    </row>
    <row r="5" spans="1:5" x14ac:dyDescent="0.35">
      <c r="A5">
        <v>106</v>
      </c>
      <c r="B5" t="s">
        <v>9</v>
      </c>
      <c r="C5">
        <v>90</v>
      </c>
      <c r="D5" t="str">
        <f>IFERROR(IF(VLOOKUP(A5,Orders!$B$2:$B$7,1,0),"Ordered"),"Not Ordered")</f>
        <v>Ordered</v>
      </c>
      <c r="E5">
        <f>SUMIF(Orders!$B$2:$B$7,A5,Orders!$C$2:$C$7)</f>
        <v>3</v>
      </c>
    </row>
    <row r="6" spans="1:5" x14ac:dyDescent="0.35">
      <c r="A6">
        <v>102</v>
      </c>
      <c r="B6" t="s">
        <v>6</v>
      </c>
      <c r="C6">
        <v>220</v>
      </c>
      <c r="D6" t="str">
        <f>IFERROR(IF(VLOOKUP(A6,Orders!$B$2:$B$7,1,0),"Ordered"),"Not Ordered")</f>
        <v>Ordered</v>
      </c>
      <c r="E6">
        <f>SUMIF(Orders!$B$2:$B$7,A6,Orders!$C$2:$C$7)</f>
        <v>5</v>
      </c>
    </row>
    <row r="7" spans="1:5" x14ac:dyDescent="0.35">
      <c r="A7">
        <v>104</v>
      </c>
      <c r="B7" t="s">
        <v>7</v>
      </c>
      <c r="C7">
        <v>130</v>
      </c>
      <c r="D7" t="str">
        <f>IFERROR(IF(VLOOKUP(A7,Orders!$B$2:$B$7,1,0),"Ordered"),"Not Ordered")</f>
        <v>Ordered</v>
      </c>
      <c r="E7">
        <f>SUMIF(Orders!$B$2:$B$7,A7,Orders!$C$2:$C$7)</f>
        <v>6</v>
      </c>
    </row>
    <row r="19" spans="7:7" x14ac:dyDescent="0.35">
      <c r="G19" t="s">
        <v>13</v>
      </c>
    </row>
    <row r="20" spans="7:7" x14ac:dyDescent="0.35">
      <c r="G20" t="s">
        <v>14</v>
      </c>
    </row>
    <row r="21" spans="7:7" x14ac:dyDescent="0.35">
      <c r="G21" t="s">
        <v>15</v>
      </c>
    </row>
    <row r="22" spans="7:7" x14ac:dyDescent="0.35">
      <c r="G22" t="s">
        <v>16</v>
      </c>
    </row>
    <row r="23" spans="7:7" x14ac:dyDescent="0.35">
      <c r="G23" t="s">
        <v>17</v>
      </c>
    </row>
    <row r="24" spans="7:7" x14ac:dyDescent="0.35">
      <c r="G24" t="s">
        <v>18</v>
      </c>
    </row>
    <row r="25" spans="7:7" x14ac:dyDescent="0.35">
      <c r="G2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400A-2533-4CA5-B610-71CCA7AF94BB}">
  <dimension ref="A1:I7"/>
  <sheetViews>
    <sheetView workbookViewId="0">
      <selection activeCell="I2" sqref="I2"/>
    </sheetView>
  </sheetViews>
  <sheetFormatPr defaultRowHeight="14.5" x14ac:dyDescent="0.35"/>
  <cols>
    <col min="2" max="2" width="10.08984375" customWidth="1"/>
    <col min="5" max="5" width="10.54296875" customWidth="1"/>
    <col min="6" max="6" width="14.7265625" customWidth="1"/>
    <col min="7" max="7" width="15.453125" customWidth="1"/>
    <col min="8" max="8" width="16.54296875" customWidth="1"/>
    <col min="9" max="9" width="20.6328125" customWidth="1"/>
  </cols>
  <sheetData>
    <row r="1" spans="1:9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20</v>
      </c>
      <c r="H1" t="s">
        <v>21</v>
      </c>
      <c r="I1" t="s">
        <v>22</v>
      </c>
    </row>
    <row r="2" spans="1:9" x14ac:dyDescent="0.35">
      <c r="A2">
        <v>1</v>
      </c>
      <c r="B2">
        <v>101</v>
      </c>
      <c r="C2">
        <v>2</v>
      </c>
      <c r="D2">
        <f>VLOOKUP(B2,Product!A1:C7,3,0)</f>
        <v>120</v>
      </c>
      <c r="E2">
        <f>C2*D2</f>
        <v>240</v>
      </c>
      <c r="F2" t="str">
        <f>VLOOKUP(B2,Product!A1:C7,2,0)</f>
        <v>Product A</v>
      </c>
      <c r="G2" t="str">
        <f>IFERROR(IF(VLOOKUP(B2,Product!$A$1:$A$7,1,0),"Exists"),"Not Exist")</f>
        <v>Exists</v>
      </c>
      <c r="H2">
        <f>VLOOKUP(B2,Product!$A$1:$C$7,3,0)*0.9</f>
        <v>108</v>
      </c>
      <c r="I2">
        <f>MAX(E2:E7)</f>
        <v>1100</v>
      </c>
    </row>
    <row r="3" spans="1:9" x14ac:dyDescent="0.35">
      <c r="A3">
        <v>2</v>
      </c>
      <c r="B3">
        <v>103</v>
      </c>
      <c r="C3">
        <v>1</v>
      </c>
      <c r="D3">
        <f>VLOOKUP(B3,Product!A2:C8,3,0)</f>
        <v>150</v>
      </c>
      <c r="E3">
        <f t="shared" ref="E3:E7" si="0">C3*D3</f>
        <v>150</v>
      </c>
      <c r="F3" t="str">
        <f>VLOOKUP(B3,Product!A2:C8,2,0)</f>
        <v>Product B</v>
      </c>
      <c r="G3" t="str">
        <f>IFERROR(IF(VLOOKUP(B3,Product!$A$1:$A$7,1,0),"Exists"),"Not Exist")</f>
        <v>Exists</v>
      </c>
      <c r="H3">
        <f>VLOOKUP(B3,Product!$A$1:$C$7,3,0)*0.9</f>
        <v>135</v>
      </c>
    </row>
    <row r="4" spans="1:9" x14ac:dyDescent="0.35">
      <c r="A4">
        <v>3</v>
      </c>
      <c r="B4">
        <v>105</v>
      </c>
      <c r="C4">
        <v>4</v>
      </c>
      <c r="D4">
        <f>VLOOKUP(B4,Product!A3:C9,3,0)</f>
        <v>200</v>
      </c>
      <c r="E4">
        <f t="shared" si="0"/>
        <v>800</v>
      </c>
      <c r="F4" t="str">
        <f>VLOOKUP(B4,Product!A3:C9,2,0)</f>
        <v>Product C</v>
      </c>
      <c r="G4" t="str">
        <f>IFERROR(IF(VLOOKUP(B4,Product!$A$1:$A$7,1,0),"Exists"),"Not Exist")</f>
        <v>Exists</v>
      </c>
      <c r="H4">
        <f>VLOOKUP(B4,Product!$A$1:$C$7,3,0)*0.9</f>
        <v>180</v>
      </c>
    </row>
    <row r="5" spans="1:9" x14ac:dyDescent="0.35">
      <c r="A5">
        <v>4</v>
      </c>
      <c r="B5">
        <v>106</v>
      </c>
      <c r="C5">
        <v>3</v>
      </c>
      <c r="D5">
        <f>VLOOKUP(B5,Product!A4:C10,3,0)</f>
        <v>90</v>
      </c>
      <c r="E5">
        <f t="shared" si="0"/>
        <v>270</v>
      </c>
      <c r="F5" t="str">
        <f>VLOOKUP(B5,Product!A4:C10,2,0)</f>
        <v>Product D</v>
      </c>
      <c r="G5" t="str">
        <f>IFERROR(IF(VLOOKUP(B5,Product!$A$1:$A$7,1,0),"Exists"),"Not Exist")</f>
        <v>Exists</v>
      </c>
      <c r="H5">
        <f>VLOOKUP(B5,Product!$A$1:$C$7,3,0)*0.9</f>
        <v>81</v>
      </c>
    </row>
    <row r="6" spans="1:9" x14ac:dyDescent="0.35">
      <c r="A6">
        <v>5</v>
      </c>
      <c r="B6">
        <v>102</v>
      </c>
      <c r="C6">
        <v>5</v>
      </c>
      <c r="D6">
        <f>VLOOKUP(B6,Product!A5:C11,3,0)</f>
        <v>220</v>
      </c>
      <c r="E6">
        <f t="shared" si="0"/>
        <v>1100</v>
      </c>
      <c r="F6" t="str">
        <f>VLOOKUP(B6,Product!A5:C11,2,0)</f>
        <v>Product E</v>
      </c>
      <c r="G6" t="str">
        <f>IFERROR(IF(VLOOKUP(B6,Product!$A$1:$A$7,1,0),"Exists"),"Not Exist")</f>
        <v>Exists</v>
      </c>
      <c r="H6">
        <f>VLOOKUP(B6,Product!$A$1:$C$7,3,0)*0.9</f>
        <v>198</v>
      </c>
    </row>
    <row r="7" spans="1:9" x14ac:dyDescent="0.35">
      <c r="A7">
        <v>6</v>
      </c>
      <c r="B7">
        <v>104</v>
      </c>
      <c r="C7">
        <v>6</v>
      </c>
      <c r="D7">
        <f>VLOOKUP(B7,Product!A6:C12,3,0)</f>
        <v>130</v>
      </c>
      <c r="E7">
        <f t="shared" si="0"/>
        <v>780</v>
      </c>
      <c r="F7" t="str">
        <f>VLOOKUP(B7,Product!A6:C12,2,0)</f>
        <v>Product F</v>
      </c>
      <c r="G7" t="str">
        <f>IFERROR(IF(VLOOKUP(B7,Product!$A$1:$A$7,1,0),"Exists"),"Not Exist")</f>
        <v>Exists</v>
      </c>
      <c r="H7">
        <f>VLOOKUP(B7,Product!$A$1:$C$7,3,0)*0.9</f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Tista Halder</cp:lastModifiedBy>
  <dcterms:created xsi:type="dcterms:W3CDTF">2026-08-07T10:31:23Z</dcterms:created>
  <dcterms:modified xsi:type="dcterms:W3CDTF">2026-08-09T17:53:56Z</dcterms:modified>
</cp:coreProperties>
</file>