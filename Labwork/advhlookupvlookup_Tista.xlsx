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00"/>
  </bookViews>
  <sheets>
    <sheet name="Products" sheetId="1" r:id="rId1"/>
    <sheet name="Orders" sheetId="2" r:id="rId2"/>
    <sheet name="Monthly 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<sst xmlns="http://schemas.openxmlformats.org/spreadsheetml/2006/main" count="39" uniqueCount="30">
  <si>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Products 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</si>
  <si>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</si>
  <si>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</si>
  <si>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</si>
  <si>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</si>
  <si>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</si>
  <si>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</si>
  <si>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</si>
  <si>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</si>
  <si>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</si>
  <si>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</si>
  <si>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</si>
  <si>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</si>
  <si>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 ID</t>
  </si>
  <si>
    <t>Product ID</t>
  </si>
  <si>
    <t>Quantity</t>
  </si>
  <si>
    <t>Unit Price</t>
  </si>
  <si>
    <t>Total Price</t>
  </si>
  <si>
    <t>1. Use VLOOKUP to dynamically find the unit price for each ProductID in the Orders worksheet and calculate the total price.</t>
  </si>
  <si>
    <t>2.Use nested VLOOKUP to find the category of each product in the Orders worksheet.</t>
  </si>
  <si>
    <t>Jan</t>
  </si>
  <si>
    <t>Feb</t>
  </si>
  <si>
    <t>March</t>
  </si>
  <si>
    <t>April</t>
  </si>
  <si>
    <t>May</t>
  </si>
  <si>
    <t>Month</t>
  </si>
  <si>
    <t>Sale</t>
  </si>
  <si>
    <t>Products E</t>
  </si>
  <si>
    <t>Products F</t>
  </si>
  <si>
    <t>1. 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</si>
</sst>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32" sqref="D32"/>
    </sheetView>
  </sheetViews>
  <sheetFormatPr defaultColWidth="9" defaultRowHeight="14.5" outlineLevelRow="6" outlineLevelCol="3"/>
  <cols>
    <col min="1" max="1" width="12" customWidth="1"/>
    <col min="3" max="3" width="10.0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5</v>
      </c>
      <c r="D2">
        <v>120</v>
      </c>
    </row>
    <row r="3" spans="1:4">
      <c r="A3">
        <v>102</v>
      </c>
      <c r="B3" t="s">
        <v>6</v>
      </c>
      <c r="C3" t="s">
        <v>7</v>
      </c>
      <c r="D3">
        <v>150</v>
      </c>
    </row>
    <row r="4" spans="1:4">
      <c r="A4">
        <v>103</v>
      </c>
      <c r="B4" t="s">
        <v>8</v>
      </c>
      <c r="C4" t="s">
        <v>5</v>
      </c>
      <c r="D4">
        <v>200</v>
      </c>
    </row>
    <row r="5" spans="1:4">
      <c r="A5">
        <v>104</v>
      </c>
      <c r="B5" t="s">
        <v>9</v>
      </c>
      <c r="C5" t="s">
        <v>10</v>
      </c>
      <c r="D5">
        <v>90</v>
      </c>
    </row>
    <row r="6" spans="1:4">
      <c r="A6">
        <v>105</v>
      </c>
      <c r="B6" t="s">
        <v>11</v>
      </c>
      <c r="C6" t="s">
        <v>7</v>
      </c>
      <c r="D6">
        <v>220</v>
      </c>
    </row>
    <row r="7" spans="1:4">
      <c r="A7">
        <v>106</v>
      </c>
      <c r="B7" t="s">
        <v>12</v>
      </c>
      <c r="C7" t="s">
        <v>5</v>
      </c>
      <c r="D7">
        <v>130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88" zoomScaleNormal="88" workbookViewId="0">
      <selection activeCell="I15" sqref="I15:I17"/>
    </sheetView>
  </sheetViews>
  <sheetFormatPr defaultColWidth="9" defaultRowHeight="14.5"/>
  <cols>
    <col min="2" max="2" width="11.2727272727273" customWidth="1"/>
    <col min="5" max="5" width="10.7272727272727" customWidth="1"/>
    <col min="6" max="6" width="11.0909090909091" customWidth="1"/>
    <col min="9" max="9" width="115.727272727273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2</v>
      </c>
    </row>
    <row r="2" spans="1:9">
      <c r="A2">
        <v>1</v>
      </c>
      <c r="B2">
        <v>101</v>
      </c>
      <c r="C2">
        <v>2</v>
      </c>
      <c r="D2">
        <f>VLOOKUP(B2,Products!$A$1:$D$7,4,0)</f>
        <v>120</v>
      </c>
      <c r="E2">
        <f>C2*D2</f>
        <v>240</v>
      </c>
      <c r="F2" t="str">
        <f>VLOOKUP(B2,Products!$A$2:$D$7,3,0)</f>
        <v>Electronics</v>
      </c>
    </row>
    <row r="3" spans="1:9">
      <c r="A3">
        <v>2</v>
      </c>
      <c r="B3">
        <v>103</v>
      </c>
      <c r="C3">
        <v>1</v>
      </c>
      <c r="D3">
        <f>VLOOKUP(B3,Products!$A$1:$D$7,4,0)</f>
        <v>200</v>
      </c>
      <c r="E3">
        <f t="shared" ref="E3:E7" si="0">C3*D3</f>
        <v>200</v>
      </c>
      <c r="F3" t="str">
        <f>VLOOKUP(B3,Products!$A$2:$D$7,3,0)</f>
        <v>Electronics</v>
      </c>
    </row>
    <row r="4" spans="1:9">
      <c r="A4">
        <v>3</v>
      </c>
      <c r="B4">
        <v>105</v>
      </c>
      <c r="C4">
        <v>4</v>
      </c>
      <c r="D4">
        <f>VLOOKUP(B4,Products!$A$1:$D$7,4,0)</f>
        <v>220</v>
      </c>
      <c r="E4">
        <f t="shared" si="0"/>
        <v>880</v>
      </c>
      <c r="F4" t="str">
        <f>VLOOKUP(B4,Products!$A$2:$D$7,3,0)</f>
        <v>Furniture</v>
      </c>
    </row>
    <row r="5" spans="1:9">
      <c r="A5">
        <v>4</v>
      </c>
      <c r="B5">
        <v>106</v>
      </c>
      <c r="C5">
        <v>3</v>
      </c>
      <c r="D5">
        <f>VLOOKUP(B5,Products!$A$1:$D$7,4,0)</f>
        <v>130</v>
      </c>
      <c r="E5">
        <f t="shared" si="0"/>
        <v>390</v>
      </c>
      <c r="F5" t="str">
        <f>VLOOKUP(B5,Products!$A$2:$D$7,3,0)</f>
        <v>Electronics</v>
      </c>
    </row>
    <row r="6" spans="1:9">
      <c r="A6">
        <v>5</v>
      </c>
      <c r="B6">
        <v>102</v>
      </c>
      <c r="C6">
        <v>5</v>
      </c>
      <c r="D6">
        <f>VLOOKUP(B6,Products!$A$1:$D$7,4,0)</f>
        <v>150</v>
      </c>
      <c r="E6">
        <f t="shared" si="0"/>
        <v>750</v>
      </c>
      <c r="F6" t="str">
        <f>VLOOKUP(B6,Products!$A$2:$D$7,3,0)</f>
        <v>Furniture</v>
      </c>
    </row>
    <row r="7" spans="1:9">
      <c r="A7">
        <v>6</v>
      </c>
      <c r="B7">
        <v>104</v>
      </c>
      <c r="C7">
        <v>6</v>
      </c>
      <c r="D7">
        <f>VLOOKUP(B7,Products!$A$1:$D$7,4,0)</f>
        <v>90</v>
      </c>
      <c r="E7">
        <f t="shared" si="0"/>
        <v>540</v>
      </c>
      <c r="F7" t="str">
        <f>VLOOKUP(B7,Products!$A$2:$D$7,3,0)</f>
        <v>Clothing</v>
      </c>
    </row>
    <row r="15" spans="1:9">
      <c r="I15" s="1" t="s">
        <v>18</v>
      </c>
    </row>
    <row r="16" spans="1:9">
      <c r="I16" s="1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H5" sqref="H5"/>
    </sheetView>
  </sheetViews>
  <sheetFormatPr defaultColWidth="9" defaultRowHeight="14.5"/>
  <cols>
    <col min="1" max="1" width="10.2727272727273" customWidth="1"/>
    <col min="10" max="10" width="70.9090909090909" customWidth="1"/>
  </cols>
  <sheetData>
    <row r="1" spans="1:10"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10">
      <c r="A2" t="s">
        <v>4</v>
      </c>
      <c r="B2">
        <v>120</v>
      </c>
      <c r="C2">
        <v>130</v>
      </c>
      <c r="D2">
        <v>140</v>
      </c>
      <c r="E2">
        <v>150</v>
      </c>
      <c r="F2">
        <v>160</v>
      </c>
    </row>
    <row r="3" spans="1:10">
      <c r="A3" t="s">
        <v>6</v>
      </c>
      <c r="B3">
        <v>150</v>
      </c>
      <c r="C3">
        <v>160</v>
      </c>
      <c r="D3">
        <v>170</v>
      </c>
      <c r="E3">
        <v>180</v>
      </c>
      <c r="F3">
        <v>190</v>
      </c>
    </row>
    <row r="4" spans="1:10">
      <c r="A4" t="s">
        <v>8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25</v>
      </c>
      <c r="I4" t="s">
        <v>26</v>
      </c>
    </row>
    <row r="5" spans="1:10">
      <c r="A5" t="s">
        <v>9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20</v>
      </c>
      <c r="I5">
        <f>HLOOKUP(H5,$A$1:$F$7,3,0)</f>
        <v>150</v>
      </c>
    </row>
    <row r="6" spans="1:10">
      <c r="A6" t="s">
        <v>27</v>
      </c>
      <c r="B6">
        <v>220</v>
      </c>
      <c r="C6">
        <v>230</v>
      </c>
      <c r="D6">
        <v>240</v>
      </c>
      <c r="E6">
        <v>250</v>
      </c>
      <c r="F6">
        <v>260</v>
      </c>
    </row>
    <row r="7" spans="1:10">
      <c r="A7" t="s">
        <v>28</v>
      </c>
      <c r="B7">
        <v>130</v>
      </c>
      <c r="C7">
        <v>140</v>
      </c>
      <c r="D7">
        <v>150</v>
      </c>
      <c r="E7">
        <v>160</v>
      </c>
      <c r="F7">
        <v>170</v>
      </c>
    </row>
    <row r="15" spans="1:10">
      <c r="J15" s="1" t="s">
        <v>29</v>
      </c>
    </row>
  </sheetData>
  <dataValidations count="1">
    <dataValidation type="list" allowBlank="1" showInputMessage="1" showErrorMessage="1" sqref="H5">
      <formula1>$B$1:$F$1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Tista Halder</dc:creator>
  <cp:lastModifiedBy>User</cp:lastModifiedBy>
  <dcterms:created xsi:type="dcterms:W3CDTF">2026-08-10T09:40:00Z</dcterms:created>
  <dcterms:modified xsi:type="dcterms:W3CDTF">2026-08-14T15:35:51Z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0CE3CEB02C964001A7B4DB86E8BE9EE5_12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