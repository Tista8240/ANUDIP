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 firstSheet="1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<sst xmlns="http://schemas.openxmlformats.org/spreadsheetml/2006/main" count="3624" uniqueCount="145">
  <si>
    <t xml:space="preserve">Name </t>
  </si>
  <si>
    <t>Grade</t>
  </si>
  <si>
    <t>Sub1</t>
  </si>
  <si>
    <t>Amit</t>
  </si>
  <si>
    <t>Sima</t>
  </si>
  <si>
    <t>Sayar</t>
  </si>
  <si>
    <t>Rekha</t>
  </si>
  <si>
    <t>Code</t>
  </si>
  <si>
    <t>1st 3 digits</t>
  </si>
  <si>
    <t>last 3 digit</t>
  </si>
  <si>
    <t>Monday</t>
  </si>
  <si>
    <t>Mon</t>
  </si>
  <si>
    <t>Jan</t>
  </si>
  <si>
    <t>123-456-231</t>
  </si>
  <si>
    <t>First Name</t>
  </si>
  <si>
    <t>Last Name</t>
  </si>
  <si>
    <t>Full Name</t>
  </si>
  <si>
    <t>Tuesday</t>
  </si>
  <si>
    <t>Tue</t>
  </si>
  <si>
    <t>Feb</t>
  </si>
  <si>
    <t>456-321-890</t>
  </si>
  <si>
    <t xml:space="preserve">Tista </t>
  </si>
  <si>
    <t>Halder</t>
  </si>
  <si>
    <t>Tista Halder</t>
  </si>
  <si>
    <t>Wednesday</t>
  </si>
  <si>
    <t>Wed</t>
  </si>
  <si>
    <t>Mar</t>
  </si>
  <si>
    <t>345-786-875</t>
  </si>
  <si>
    <t>Sandra</t>
  </si>
  <si>
    <t>Duta</t>
  </si>
  <si>
    <t>Sandra Duta</t>
  </si>
  <si>
    <t>Thursday</t>
  </si>
  <si>
    <t>Thu</t>
  </si>
  <si>
    <t>Apr</t>
  </si>
  <si>
    <t>890-564-654</t>
  </si>
  <si>
    <t xml:space="preserve">Tandra </t>
  </si>
  <si>
    <t>Paul</t>
  </si>
  <si>
    <t>Tandra Paul</t>
  </si>
  <si>
    <t>Friday</t>
  </si>
  <si>
    <t>Fri</t>
  </si>
  <si>
    <t>May</t>
  </si>
  <si>
    <t>Rahul</t>
  </si>
  <si>
    <t>Rahul Duta</t>
  </si>
  <si>
    <t>Saturday</t>
  </si>
  <si>
    <t>Sat</t>
  </si>
  <si>
    <t>Jun</t>
  </si>
  <si>
    <t>Sun</t>
  </si>
  <si>
    <t>Jul</t>
  </si>
  <si>
    <t>Aug</t>
  </si>
  <si>
    <t>Sep</t>
  </si>
  <si>
    <t>Rose</t>
  </si>
  <si>
    <t>Tulip</t>
  </si>
  <si>
    <t>Lavender</t>
  </si>
  <si>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</si>
  <si>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</si>
  <si>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</si>
  <si>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</si>
  <si>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</si>
  <si>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</si>
  <si>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</si>
  <si>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</si>
  <si>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</si>
  <si>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</si>
  <si>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</si>
  <si>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</si>
  <si>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</si>
  <si>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</si>
  <si>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</si>
  <si>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</si>
  <si>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</si>
  <si>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</si>
  <si>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</si>
  <si>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 Status1</t>
  </si>
  <si>
    <t>Discount Status</t>
  </si>
  <si>
    <t>Sale Category 2</t>
  </si>
  <si>
    <t>Count Beauty Products</t>
  </si>
  <si>
    <t>Count Order</t>
  </si>
  <si>
    <t>Count Electronics online</t>
  </si>
  <si>
    <t>Eligibility Status</t>
  </si>
  <si>
    <t>Order Priority</t>
  </si>
  <si>
    <t>Oniline Status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</si>
  <si>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</si>
  <si>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</si>
  <si>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</si>
  <si>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</si>
  <si>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</si>
  <si>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</si>
  <si>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</si>
  <si>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</si>
  <si>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</si>
  <si>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</si>
  <si>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</si>
  <si>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</si>
  <si>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</si>
  <si>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</si>
  <si>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</si>
  <si>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</si>
  <si>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</si>
  <si>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</si>
  <si>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</si>
  <si>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</si>
  <si>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</si>
  <si>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</si>
  <si>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</si>
  <si>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</si>
  <si>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</si>
  <si>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</si>
  <si>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</si>
  <si>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</si>
  <si>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</si>
  <si>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</si>
  <si>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</si>
  <si>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</si>
  <si>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</si>
  <si>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</si>
  <si>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</si>
  <si>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</si>
  <si>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Task</t>
  </si>
  <si>
    <t>1) If discount percent is greater tha n 10% display "Heavy "Amount" if not show "Normal discount".</t>
  </si>
  <si>
    <t>Smartwatch</t>
  </si>
  <si>
    <t>2) Classify sales into 3 categories;  Net Sales&gt;=7000, Excellent sales; if net sales&gt;=4000, "Good"; Otherwise "Average".</t>
  </si>
  <si>
    <t>3)Count the number of beauty products</t>
  </si>
  <si>
    <t>4) Count order where discount percent is &gt;15%</t>
  </si>
  <si>
    <t>Beauty</t>
  </si>
  <si>
    <t>Shampoo</t>
  </si>
  <si>
    <t>5) Count Electronics orders sold online</t>
  </si>
  <si>
    <t>6) Display "Eligible" if Net Sales &gt; 5000 and Discount &lt;10%</t>
  </si>
  <si>
    <t>Maharashtra</t>
  </si>
  <si>
    <t>7)Display priority order if Net Sales&gt;7000 or Unit Sold &gt;5 then it will display priority order or it wil display normal order</t>
  </si>
  <si>
    <t>Curtains</t>
  </si>
  <si>
    <t>8) Display online if the sales channel is not market place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</si>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</sst>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5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0" xfId="0" applyFont="1"/>
    <xf numFmtId="0" fontId="4" fillId="0" borderId="1" xfId="0" applyFont="1" applyBorder="1"/>
    <xf numFmtId="180" fontId="4" fillId="0" borderId="1" xfId="0" applyNumberFormat="1" applyFont="1" applyBorder="1"/>
    <xf numFmtId="0" fontId="3" fillId="0" borderId="1" xfId="0" applyFont="1" applyBorder="1"/>
    <xf numFmtId="0" fontId="0" fillId="0" borderId="1" xfId="0" applyBorder="1"/>
    <xf numFmtId="0" fontId="0" fillId="2" borderId="1" xfId="0" applyFill="1" applyBorder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colors>
    <mruColors>
      <color rgb="00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2:AM28"/>
  <sheetViews>
    <sheetView topLeftCell="AE1" workbookViewId="0">
      <selection activeCell="AM9" sqref="AM9"/>
    </sheetView>
  </sheetViews>
  <sheetFormatPr defaultColWidth="9" defaultRowHeight="14.5"/>
  <cols>
    <col min="21" max="21" width="12.5454545454545" customWidth="1"/>
    <col min="31" max="31" width="12.4545454545455" customWidth="1"/>
    <col min="32" max="32" width="10" customWidth="1"/>
    <col min="34" max="34" width="12" customWidth="1"/>
    <col min="39" max="39" width="18" customWidth="1"/>
  </cols>
  <sheetData>
    <row r="2" spans="8:39">
      <c r="H2" s="8" t="s">
        <v>0</v>
      </c>
      <c r="I2" s="8" t="s">
        <v>1</v>
      </c>
      <c r="J2" s="8" t="s">
        <v>2</v>
      </c>
    </row>
    <row r="3" spans="8:39">
      <c r="H3" s="8" t="s">
        <v>3</v>
      </c>
      <c r="I3" s="8">
        <v>8</v>
      </c>
      <c r="J3" s="8">
        <v>67</v>
      </c>
    </row>
    <row r="4" spans="8:39">
      <c r="H4" s="8" t="s">
        <v>4</v>
      </c>
      <c r="I4" s="8">
        <v>9</v>
      </c>
      <c r="J4" s="8">
        <v>89</v>
      </c>
    </row>
    <row r="5" spans="8:39">
      <c r="H5" s="8" t="s">
        <v>5</v>
      </c>
      <c r="I5" s="8">
        <v>6</v>
      </c>
      <c r="J5" s="8">
        <v>90</v>
      </c>
    </row>
    <row r="6" spans="8:39">
      <c r="H6" s="8" t="s">
        <v>6</v>
      </c>
      <c r="I6" s="8">
        <v>7</v>
      </c>
      <c r="J6" s="8">
        <v>87</v>
      </c>
      <c r="M6" t="s">
        <v>0</v>
      </c>
      <c r="N6" t="s">
        <v>1</v>
      </c>
      <c r="O6" t="s">
        <v>2</v>
      </c>
      <c r="AE6" t="s">
        <v>7</v>
      </c>
      <c r="AF6" t="s">
        <v>8</v>
      </c>
      <c r="AH6" t="s">
        <v>7</v>
      </c>
      <c r="AI6" t="s">
        <v>9</v>
      </c>
    </row>
    <row r="7" spans="8:39">
      <c r="M7" t="s">
        <v>3</v>
      </c>
      <c r="N7">
        <v>8</v>
      </c>
      <c r="O7">
        <v>67</v>
      </c>
      <c r="Q7">
        <v>50</v>
      </c>
      <c r="R7">
        <v>80</v>
      </c>
      <c r="U7" t="s">
        <v>10</v>
      </c>
      <c r="W7" t="s">
        <v>11</v>
      </c>
      <c r="X7" t="s">
        <v>11</v>
      </c>
      <c r="Y7" t="s">
        <v>11</v>
      </c>
      <c r="Z7" s="9" t="s">
        <v>12</v>
      </c>
      <c r="AA7">
        <v>1</v>
      </c>
      <c r="AB7">
        <v>10</v>
      </c>
      <c r="AE7" t="s">
        <v>13</v>
      </c>
      <c r="AF7">
        <v>123</v>
      </c>
      <c r="AH7" t="s">
        <v>13</v>
      </c>
      <c r="AI7">
        <v>231</v>
      </c>
      <c r="AK7" t="s">
        <v>14</v>
      </c>
      <c r="AL7" t="s">
        <v>15</v>
      </c>
      <c r="AM7" t="s">
        <v>16</v>
      </c>
    </row>
    <row r="8" spans="8:39">
      <c r="M8" t="s">
        <v>4</v>
      </c>
      <c r="N8">
        <v>9</v>
      </c>
      <c r="O8">
        <v>89</v>
      </c>
      <c r="Q8">
        <v>40</v>
      </c>
      <c r="R8">
        <v>70</v>
      </c>
      <c r="U8" t="s">
        <v>17</v>
      </c>
      <c r="W8" t="s">
        <v>18</v>
      </c>
      <c r="Y8" t="s">
        <v>18</v>
      </c>
      <c r="Z8" s="9" t="s">
        <v>19</v>
      </c>
      <c r="AA8">
        <v>2</v>
      </c>
      <c r="AB8">
        <v>20</v>
      </c>
      <c r="AE8" t="s">
        <v>20</v>
      </c>
      <c r="AF8">
        <v>456</v>
      </c>
      <c r="AH8" t="s">
        <v>20</v>
      </c>
      <c r="AI8">
        <v>890</v>
      </c>
      <c r="AK8" t="s">
        <v>21</v>
      </c>
      <c r="AL8" t="s">
        <v>22</v>
      </c>
      <c r="AM8" t="s">
        <v>23</v>
      </c>
    </row>
    <row r="9" spans="8:39">
      <c r="M9" t="s">
        <v>5</v>
      </c>
      <c r="N9">
        <v>6</v>
      </c>
      <c r="O9">
        <v>90</v>
      </c>
      <c r="Q9">
        <v>60</v>
      </c>
      <c r="R9">
        <v>70</v>
      </c>
      <c r="U9" t="s">
        <v>24</v>
      </c>
      <c r="W9" t="s">
        <v>25</v>
      </c>
      <c r="Y9" t="s">
        <v>25</v>
      </c>
      <c r="Z9" s="9" t="s">
        <v>26</v>
      </c>
      <c r="AA9">
        <v>3</v>
      </c>
      <c r="AB9">
        <v>30</v>
      </c>
      <c r="AE9" t="s">
        <v>27</v>
      </c>
      <c r="AF9">
        <v>345</v>
      </c>
      <c r="AH9" t="s">
        <v>27</v>
      </c>
      <c r="AI9">
        <v>875</v>
      </c>
      <c r="AK9" t="s">
        <v>28</v>
      </c>
      <c r="AL9" t="s">
        <v>29</v>
      </c>
      <c r="AM9" t="s">
        <v>30</v>
      </c>
    </row>
    <row r="10" spans="8:39">
      <c r="M10" t="s">
        <v>6</v>
      </c>
      <c r="N10">
        <v>7</v>
      </c>
      <c r="O10">
        <v>87</v>
      </c>
      <c r="Q10">
        <v>70</v>
      </c>
      <c r="R10">
        <v>75</v>
      </c>
      <c r="U10" t="s">
        <v>31</v>
      </c>
      <c r="W10" t="s">
        <v>32</v>
      </c>
      <c r="Y10" t="s">
        <v>32</v>
      </c>
      <c r="Z10" s="9" t="s">
        <v>33</v>
      </c>
      <c r="AA10">
        <v>4</v>
      </c>
      <c r="AB10">
        <v>40</v>
      </c>
      <c r="AE10" t="s">
        <v>34</v>
      </c>
      <c r="AF10">
        <v>890</v>
      </c>
      <c r="AH10" t="s">
        <v>34</v>
      </c>
      <c r="AI10">
        <v>654</v>
      </c>
      <c r="AK10" t="s">
        <v>35</v>
      </c>
      <c r="AL10" t="s">
        <v>36</v>
      </c>
      <c r="AM10" t="s">
        <v>37</v>
      </c>
    </row>
    <row r="11" spans="8:39">
      <c r="U11" t="s">
        <v>38</v>
      </c>
      <c r="W11" t="s">
        <v>39</v>
      </c>
      <c r="Y11" t="s">
        <v>39</v>
      </c>
      <c r="Z11" s="9" t="s">
        <v>40</v>
      </c>
      <c r="AA11">
        <v>5</v>
      </c>
      <c r="AB11">
        <v>50</v>
      </c>
      <c r="AK11" t="s">
        <v>41</v>
      </c>
      <c r="AL11" t="s">
        <v>29</v>
      </c>
      <c r="AM11" t="s">
        <v>42</v>
      </c>
    </row>
    <row r="12" spans="8:39">
      <c r="U12" t="s">
        <v>43</v>
      </c>
      <c r="W12" t="s">
        <v>44</v>
      </c>
      <c r="Y12" t="s">
        <v>11</v>
      </c>
      <c r="Z12" s="9" t="s">
        <v>45</v>
      </c>
      <c r="AA12">
        <v>6</v>
      </c>
      <c r="AB12">
        <v>60</v>
      </c>
    </row>
    <row r="13" spans="8:39">
      <c r="W13" t="s">
        <v>46</v>
      </c>
      <c r="Y13" t="s">
        <v>18</v>
      </c>
      <c r="Z13" s="9" t="s">
        <v>47</v>
      </c>
      <c r="AA13">
        <v>7</v>
      </c>
      <c r="AB13">
        <v>70</v>
      </c>
    </row>
    <row r="14" spans="8:39">
      <c r="Z14" s="9" t="s">
        <v>48</v>
      </c>
      <c r="AA14">
        <v>8</v>
      </c>
      <c r="AB14">
        <v>80</v>
      </c>
    </row>
    <row r="15" spans="8:39">
      <c r="Z15" s="9" t="s">
        <v>49</v>
      </c>
      <c r="AA15">
        <v>9</v>
      </c>
      <c r="AB15">
        <v>90</v>
      </c>
    </row>
    <row r="16" spans="8:39">
      <c r="L16" t="s">
        <v>0</v>
      </c>
      <c r="M16" t="s">
        <v>1</v>
      </c>
      <c r="N16" t="s">
        <v>2</v>
      </c>
      <c r="AB16">
        <v>100</v>
      </c>
    </row>
    <row r="17" spans="12:29">
      <c r="L17" t="s">
        <v>3</v>
      </c>
      <c r="M17">
        <v>8</v>
      </c>
      <c r="N17">
        <v>67</v>
      </c>
      <c r="AB17">
        <v>110</v>
      </c>
    </row>
    <row r="18" spans="12:29">
      <c r="L18" t="s">
        <v>4</v>
      </c>
      <c r="M18">
        <v>9</v>
      </c>
      <c r="N18">
        <v>89</v>
      </c>
      <c r="AB18">
        <v>120</v>
      </c>
    </row>
    <row r="19" spans="12:29">
      <c r="L19" t="s">
        <v>5</v>
      </c>
      <c r="M19">
        <v>6</v>
      </c>
      <c r="N19">
        <v>90</v>
      </c>
    </row>
    <row r="20" spans="12:29">
      <c r="L20" t="s">
        <v>6</v>
      </c>
      <c r="M20">
        <v>7</v>
      </c>
      <c r="N20">
        <v>87</v>
      </c>
      <c r="AC20" t="s">
        <v>50</v>
      </c>
    </row>
    <row r="21" spans="12:29">
      <c r="V21" s="10">
        <v>10</v>
      </c>
      <c r="W21" s="10">
        <v>10</v>
      </c>
      <c r="X21" s="10">
        <v>10</v>
      </c>
      <c r="Y21" s="10">
        <v>10</v>
      </c>
      <c r="Z21" s="10">
        <v>10</v>
      </c>
      <c r="AC21" t="s">
        <v>51</v>
      </c>
    </row>
    <row r="22" spans="12:29">
      <c r="V22" s="10">
        <v>10</v>
      </c>
      <c r="W22" s="10">
        <v>10</v>
      </c>
      <c r="X22" s="10">
        <v>10</v>
      </c>
      <c r="Y22" s="10">
        <v>10</v>
      </c>
      <c r="Z22" s="10">
        <v>10</v>
      </c>
      <c r="AC22" t="s">
        <v>52</v>
      </c>
    </row>
    <row r="23" spans="12:29">
      <c r="V23" s="10">
        <v>10</v>
      </c>
      <c r="W23" s="10">
        <v>10</v>
      </c>
      <c r="X23" s="10">
        <v>10</v>
      </c>
      <c r="Y23" s="10">
        <v>10</v>
      </c>
      <c r="Z23" s="10">
        <v>10</v>
      </c>
      <c r="AC23" t="s">
        <v>50</v>
      </c>
    </row>
    <row r="24" spans="12:29">
      <c r="V24" s="10">
        <v>10</v>
      </c>
      <c r="W24" s="10">
        <v>10</v>
      </c>
      <c r="X24" s="10">
        <v>10</v>
      </c>
      <c r="Y24" s="10">
        <v>10</v>
      </c>
      <c r="Z24" s="10">
        <v>10</v>
      </c>
      <c r="AC24" t="s">
        <v>51</v>
      </c>
    </row>
    <row r="25" spans="12:29">
      <c r="V25" s="10">
        <v>10</v>
      </c>
      <c r="W25" s="10">
        <v>10</v>
      </c>
      <c r="X25" s="10">
        <v>10</v>
      </c>
      <c r="Y25" s="10">
        <v>10</v>
      </c>
      <c r="Z25" s="10">
        <v>10</v>
      </c>
      <c r="AC25" t="s">
        <v>52</v>
      </c>
    </row>
    <row r="26" spans="12:29">
      <c r="V26" s="10">
        <v>10</v>
      </c>
      <c r="W26" s="10">
        <v>10</v>
      </c>
      <c r="X26" s="10">
        <v>10</v>
      </c>
      <c r="Y26" s="10">
        <v>10</v>
      </c>
      <c r="Z26" s="10">
        <v>10</v>
      </c>
      <c r="AC26" t="s">
        <v>50</v>
      </c>
    </row>
    <row r="27" spans="12:29">
      <c r="V27" s="10">
        <v>10</v>
      </c>
      <c r="W27" s="10">
        <v>10</v>
      </c>
      <c r="X27" s="10">
        <v>10</v>
      </c>
      <c r="Y27" s="10">
        <v>10</v>
      </c>
      <c r="Z27" s="10">
        <v>10</v>
      </c>
      <c r="AC27" t="s">
        <v>51</v>
      </c>
    </row>
    <row r="28" spans="12:29">
      <c r="V28" s="10">
        <v>10</v>
      </c>
      <c r="W28" s="10">
        <v>10</v>
      </c>
      <c r="X28" s="10">
        <v>10</v>
      </c>
      <c r="Y28" s="10">
        <v>10</v>
      </c>
      <c r="Z28" s="10">
        <v>10</v>
      </c>
      <c r="AC28" t="s">
        <v>52</v>
      </c>
    </row>
  </sheetData>
  <conditionalFormatting sqref="W7:Z7 X8:X14 Z8:Z15">
    <cfRule type="containsText" dxfId="0" priority="1" operator="between" text="Mon">
      <formula>NOT(ISERROR(SEARCH("Mon",W7)))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01"/>
  <sheetViews>
    <sheetView tabSelected="1" topLeftCell="N1" workbookViewId="0">
      <selection activeCell="Y2" sqref="Y2:Y501"/>
    </sheetView>
  </sheetViews>
  <sheetFormatPr defaultColWidth="9" defaultRowHeight="14.5"/>
  <cols>
    <col min="3" max="3" width="13.1818181818182" customWidth="1"/>
    <col min="4" max="4" width="10.7272727272727" customWidth="1"/>
    <col min="16" max="16" width="10.4545454545455" customWidth="1"/>
    <col min="17" max="17" width="15.4545454545455" customWidth="1"/>
    <col min="18" max="18" width="17.4545454545455" customWidth="1"/>
    <col min="19" max="19" width="9.81818181818182" customWidth="1"/>
    <col min="20" max="20" width="11.1818181818182" customWidth="1"/>
    <col min="21" max="21" width="15.8181818181818" customWidth="1"/>
    <col min="22" max="22" width="14.5454545454545" customWidth="1"/>
    <col min="23" max="23" width="20.6363636363636" customWidth="1"/>
    <col min="24" max="24" width="12.0909090909091" customWidth="1"/>
    <col min="25" max="25" width="20.7272727272727" customWidth="1"/>
    <col min="26" max="26" width="13.8181818181818" customWidth="1"/>
    <col min="27" max="27" width="14.2727272727273" customWidth="1"/>
    <col min="28" max="28" width="18.9090909090909" customWidth="1"/>
    <col min="30" max="30" width="100.909090909091" customWidth="1"/>
  </cols>
  <sheetData>
    <row r="1" spans="1:30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2" t="s">
        <v>68</v>
      </c>
      <c r="Q1" s="2" t="s">
        <v>69</v>
      </c>
      <c r="R1" s="3" t="s">
        <v>70</v>
      </c>
      <c r="S1" s="2" t="s">
        <v>71</v>
      </c>
      <c r="T1" s="2" t="s">
        <v>72</v>
      </c>
      <c r="U1" s="2" t="s">
        <v>73</v>
      </c>
      <c r="V1" s="2" t="s">
        <v>74</v>
      </c>
      <c r="W1" s="2" t="s">
        <v>75</v>
      </c>
      <c r="X1" s="4" t="s">
        <v>76</v>
      </c>
      <c r="Y1" s="4" t="s">
        <v>77</v>
      </c>
      <c r="Z1" s="4" t="s">
        <v>78</v>
      </c>
      <c r="AA1" s="4" t="s">
        <v>79</v>
      </c>
      <c r="AB1" s="4" t="s">
        <v>80</v>
      </c>
    </row>
    <row r="2" spans="1:30">
      <c r="A2" s="5">
        <v>10001</v>
      </c>
      <c r="B2" s="5">
        <v>1102</v>
      </c>
      <c r="C2" s="6">
        <v>45203</v>
      </c>
      <c r="D2" s="6">
        <v>45203</v>
      </c>
      <c r="E2" s="5" t="s">
        <v>81</v>
      </c>
      <c r="F2" s="5" t="s">
        <v>82</v>
      </c>
      <c r="G2" s="5" t="s">
        <v>83</v>
      </c>
      <c r="H2" s="5" t="s">
        <v>84</v>
      </c>
      <c r="I2" s="5" t="s">
        <v>85</v>
      </c>
      <c r="J2" s="5" t="s">
        <v>86</v>
      </c>
      <c r="K2" s="5" t="s">
        <v>87</v>
      </c>
      <c r="L2" s="5">
        <v>7</v>
      </c>
      <c r="M2" s="5">
        <v>2843.87</v>
      </c>
      <c r="N2" s="5">
        <v>0</v>
      </c>
      <c r="O2" s="5">
        <v>19907.09</v>
      </c>
      <c r="P2">
        <f>L2*M2</f>
        <v>19907.09</v>
      </c>
      <c r="Q2">
        <f>P2*(N2/100)</f>
        <v>0</v>
      </c>
      <c r="R2">
        <f>P2-Q2</f>
        <v>19907.09</v>
      </c>
      <c r="S2" t="str">
        <f>IF(L2&gt;=5,"High","Low")</f>
        <v>High</v>
      </c>
      <c r="T2" t="str">
        <f>IF(L2&gt;5,"High",IF(L2=5,"Medium","Low"))</f>
        <v>High</v>
      </c>
      <c r="U2" t="str">
        <f>IF(N2&gt;10%,"Heavy Discount","Normal Discount")</f>
        <v>Normal Discount</v>
      </c>
      <c r="V2" t="str">
        <f>IF(O2&gt;=7000,"Excellent Sales",IF(O2&gt;=4000,"Good","Average"))</f>
        <v>Excellent Sales</v>
      </c>
      <c r="W2">
        <f>COUNTIF($I$2:$I$501,"Beauty")</f>
        <v>99</v>
      </c>
      <c r="X2">
        <f>COUNTIF($N$2:$N$501,"&gt;15")</f>
        <v>106</v>
      </c>
      <c r="Y2">
        <f>COUNTIFS(I2:I501,"Electronics",G2:G501,"&lt;&gt;Marketplace")</f>
        <v>60</v>
      </c>
      <c r="Z2" t="str">
        <f>IF(AND(O2:O501,N2&lt;10%),"Eligible","Not Eligible")</f>
        <v>Eligible</v>
      </c>
      <c r="AA2" t="str">
        <f>IF(OR(O2&gt;7000,L2&gt;5),"Prriority Order","Normal Order")</f>
        <v>Prriority Order</v>
      </c>
      <c r="AB2" t="str">
        <f>IF(G2&lt;&gt;"Marketplace","Online","")</f>
        <v>Online</v>
      </c>
    </row>
    <row r="3" spans="1:30">
      <c r="A3" s="5">
        <v>10002</v>
      </c>
      <c r="B3" s="5">
        <v>1435</v>
      </c>
      <c r="C3" s="6">
        <v>45203</v>
      </c>
      <c r="D3" s="6">
        <v>45203</v>
      </c>
      <c r="E3" s="5" t="s">
        <v>88</v>
      </c>
      <c r="F3" s="5" t="s">
        <v>89</v>
      </c>
      <c r="G3" s="5" t="s">
        <v>90</v>
      </c>
      <c r="H3" s="5" t="s">
        <v>91</v>
      </c>
      <c r="I3" s="5" t="s">
        <v>92</v>
      </c>
      <c r="J3" s="5" t="s">
        <v>93</v>
      </c>
      <c r="K3" s="5" t="s">
        <v>94</v>
      </c>
      <c r="L3" s="5">
        <v>9</v>
      </c>
      <c r="M3" s="5">
        <v>2525.23</v>
      </c>
      <c r="N3" s="5">
        <v>5</v>
      </c>
      <c r="O3" s="5">
        <v>21590.72</v>
      </c>
      <c r="P3">
        <f t="shared" ref="P3:P66" si="0">L3*M3</f>
        <v>22727.07</v>
      </c>
      <c r="Q3">
        <f t="shared" ref="Q3:Q66" si="1">P3*(N3/100)</f>
        <v>1136.3535</v>
      </c>
      <c r="R3">
        <f t="shared" ref="R3:R66" si="2">P3-Q3</f>
        <v>21590.7165</v>
      </c>
      <c r="S3" t="str">
        <f t="shared" ref="S3:S66" si="3">IF(L3&gt;=5,"High","Low")</f>
        <v>High</v>
      </c>
      <c r="T3" t="str">
        <f t="shared" ref="T3:T66" si="4">IF(L3&gt;5,"High",IF(L3=5,"Medium","Low"))</f>
        <v>High</v>
      </c>
      <c r="U3" t="str">
        <f t="shared" ref="U3:U66" si="5">IF(N3&gt;10%,"Heavy Discount","Normal Discount")</f>
        <v>Heavy Discount</v>
      </c>
      <c r="V3" t="str">
        <f t="shared" ref="V3:V66" si="6">IF(O3&gt;=7000,"Excellent Sales",IF(O3&gt;=4000,"Good","Average"))</f>
        <v>Excellent Sales</v>
      </c>
      <c r="W3">
        <f t="shared" ref="W3:W66" si="7">COUNTIF($I$2:$I$501,"Beauty")</f>
        <v>99</v>
      </c>
      <c r="X3">
        <f t="shared" ref="X3:X66" si="8">COUNTIF($N$2:$N$501,"&gt;15")</f>
        <v>106</v>
      </c>
      <c r="Y3">
        <f t="shared" ref="Y3:Y66" si="9">COUNTIFS(I3:I502,"Electronics",G3:G502,"&lt;&gt;Marketplace")</f>
        <v>60</v>
      </c>
      <c r="Z3" t="str">
        <f t="shared" ref="Z3:Z66" si="10">IF(AND(O3:O502,N3&lt;10%),"Eligible","Not Eligible")</f>
        <v>Not Eligible</v>
      </c>
      <c r="AA3" t="str">
        <f t="shared" ref="AA3:AA66" si="11">IF(OR(O3&gt;7000,L3&gt;5),"Prriority Order","Normal Order")</f>
        <v>Prriority Order</v>
      </c>
      <c r="AB3" t="str">
        <f t="shared" ref="AB3:AB66" si="12">IF(G3&lt;&gt;"Marketplace","Online","")</f>
        <v>Online</v>
      </c>
    </row>
    <row r="4" spans="1:30">
      <c r="A4" s="5">
        <v>10003</v>
      </c>
      <c r="B4" s="5">
        <v>1860</v>
      </c>
      <c r="C4" s="6">
        <v>45114</v>
      </c>
      <c r="D4" s="6">
        <v>45114</v>
      </c>
      <c r="E4" s="5" t="s">
        <v>81</v>
      </c>
      <c r="F4" s="5" t="s">
        <v>95</v>
      </c>
      <c r="G4" s="5" t="s">
        <v>96</v>
      </c>
      <c r="H4" s="5" t="s">
        <v>91</v>
      </c>
      <c r="I4" s="5" t="s">
        <v>97</v>
      </c>
      <c r="J4" s="5" t="s">
        <v>98</v>
      </c>
      <c r="K4" s="5" t="s">
        <v>99</v>
      </c>
      <c r="L4" s="5">
        <v>6</v>
      </c>
      <c r="M4" s="5">
        <v>3474.34</v>
      </c>
      <c r="N4" s="5">
        <v>15</v>
      </c>
      <c r="O4" s="5">
        <v>17719.13</v>
      </c>
      <c r="P4">
        <f t="shared" si="0"/>
        <v>20846.04</v>
      </c>
      <c r="Q4">
        <f t="shared" si="1"/>
        <v>3126.906</v>
      </c>
      <c r="R4">
        <f t="shared" si="2"/>
        <v>17719.134</v>
      </c>
      <c r="S4" t="str">
        <f t="shared" si="3"/>
        <v>High</v>
      </c>
      <c r="T4" t="str">
        <f t="shared" si="4"/>
        <v>High</v>
      </c>
      <c r="U4" t="str">
        <f t="shared" si="5"/>
        <v>Heavy Discount</v>
      </c>
      <c r="V4" t="str">
        <f t="shared" si="6"/>
        <v>Excellent Sales</v>
      </c>
      <c r="W4">
        <f t="shared" si="7"/>
        <v>99</v>
      </c>
      <c r="X4">
        <f t="shared" si="8"/>
        <v>106</v>
      </c>
      <c r="Y4">
        <f t="shared" si="9"/>
        <v>60</v>
      </c>
      <c r="Z4" t="str">
        <f t="shared" si="10"/>
        <v>Not Eligible</v>
      </c>
      <c r="AA4" t="str">
        <f t="shared" si="11"/>
        <v>Prriority Order</v>
      </c>
      <c r="AB4" t="str">
        <f t="shared" si="12"/>
        <v/>
      </c>
    </row>
    <row r="5" spans="1:30">
      <c r="A5" s="5">
        <v>10004</v>
      </c>
      <c r="B5" s="5">
        <v>1270</v>
      </c>
      <c r="C5" s="6">
        <v>45087</v>
      </c>
      <c r="D5" s="6">
        <v>45087</v>
      </c>
      <c r="E5" s="5" t="s">
        <v>100</v>
      </c>
      <c r="F5" s="5" t="s">
        <v>95</v>
      </c>
      <c r="G5" s="5" t="s">
        <v>90</v>
      </c>
      <c r="H5" s="5" t="s">
        <v>101</v>
      </c>
      <c r="I5" s="5" t="s">
        <v>92</v>
      </c>
      <c r="J5" s="5" t="s">
        <v>102</v>
      </c>
      <c r="K5" s="5" t="s">
        <v>87</v>
      </c>
      <c r="L5" s="5">
        <v>1</v>
      </c>
      <c r="M5" s="5">
        <v>1008.79</v>
      </c>
      <c r="N5" s="5">
        <v>15</v>
      </c>
      <c r="O5" s="5">
        <v>857.47</v>
      </c>
      <c r="P5">
        <f t="shared" si="0"/>
        <v>1008.79</v>
      </c>
      <c r="Q5">
        <f t="shared" si="1"/>
        <v>151.3185</v>
      </c>
      <c r="R5">
        <f t="shared" si="2"/>
        <v>857.4715</v>
      </c>
      <c r="S5" t="str">
        <f t="shared" si="3"/>
        <v>Low</v>
      </c>
      <c r="T5" t="str">
        <f t="shared" si="4"/>
        <v>Low</v>
      </c>
      <c r="U5" t="str">
        <f t="shared" si="5"/>
        <v>Heavy Discount</v>
      </c>
      <c r="V5" t="str">
        <f t="shared" si="6"/>
        <v>Average</v>
      </c>
      <c r="W5">
        <f t="shared" si="7"/>
        <v>99</v>
      </c>
      <c r="X5">
        <f t="shared" si="8"/>
        <v>106</v>
      </c>
      <c r="Y5">
        <f t="shared" si="9"/>
        <v>60</v>
      </c>
      <c r="Z5" t="str">
        <f t="shared" si="10"/>
        <v>Not Eligible</v>
      </c>
      <c r="AA5" t="str">
        <f t="shared" si="11"/>
        <v>Normal Order</v>
      </c>
      <c r="AB5" t="str">
        <f t="shared" si="12"/>
        <v>Online</v>
      </c>
    </row>
    <row r="6" spans="1:30">
      <c r="A6" s="5">
        <v>10005</v>
      </c>
      <c r="B6" s="5">
        <v>1106</v>
      </c>
      <c r="C6" s="6">
        <v>45244</v>
      </c>
      <c r="D6" s="6">
        <v>45244</v>
      </c>
      <c r="E6" s="5" t="s">
        <v>103</v>
      </c>
      <c r="F6" s="5" t="s">
        <v>104</v>
      </c>
      <c r="G6" s="5" t="s">
        <v>96</v>
      </c>
      <c r="H6" s="5" t="s">
        <v>84</v>
      </c>
      <c r="I6" s="5" t="s">
        <v>97</v>
      </c>
      <c r="J6" s="5" t="s">
        <v>105</v>
      </c>
      <c r="K6" s="5" t="s">
        <v>87</v>
      </c>
      <c r="L6" s="5">
        <v>7</v>
      </c>
      <c r="M6" s="5">
        <v>3511.47</v>
      </c>
      <c r="N6" s="5">
        <v>20</v>
      </c>
      <c r="O6" s="5">
        <v>19664.23</v>
      </c>
      <c r="P6">
        <f t="shared" si="0"/>
        <v>24580.29</v>
      </c>
      <c r="Q6">
        <f t="shared" si="1"/>
        <v>4916.058</v>
      </c>
      <c r="R6">
        <f t="shared" si="2"/>
        <v>19664.232</v>
      </c>
      <c r="S6" t="str">
        <f t="shared" si="3"/>
        <v>High</v>
      </c>
      <c r="T6" t="str">
        <f t="shared" si="4"/>
        <v>High</v>
      </c>
      <c r="U6" t="str">
        <f t="shared" si="5"/>
        <v>Heavy Discount</v>
      </c>
      <c r="V6" t="str">
        <f t="shared" si="6"/>
        <v>Excellent Sales</v>
      </c>
      <c r="W6">
        <f t="shared" si="7"/>
        <v>99</v>
      </c>
      <c r="X6">
        <f t="shared" si="8"/>
        <v>106</v>
      </c>
      <c r="Y6">
        <f t="shared" si="9"/>
        <v>60</v>
      </c>
      <c r="Z6" t="str">
        <f t="shared" si="10"/>
        <v>Not Eligible</v>
      </c>
      <c r="AA6" t="str">
        <f t="shared" si="11"/>
        <v>Prriority Order</v>
      </c>
      <c r="AB6" t="str">
        <f t="shared" si="12"/>
        <v/>
      </c>
    </row>
    <row r="7" spans="1:30">
      <c r="A7" s="5">
        <v>10006</v>
      </c>
      <c r="B7" s="5">
        <v>1071</v>
      </c>
      <c r="C7" s="6">
        <v>45263</v>
      </c>
      <c r="D7" s="6">
        <v>45263</v>
      </c>
      <c r="E7" s="5" t="s">
        <v>106</v>
      </c>
      <c r="F7" s="5" t="s">
        <v>107</v>
      </c>
      <c r="G7" s="5" t="s">
        <v>90</v>
      </c>
      <c r="H7" s="5" t="s">
        <v>108</v>
      </c>
      <c r="I7" s="5" t="s">
        <v>85</v>
      </c>
      <c r="J7" s="5" t="s">
        <v>109</v>
      </c>
      <c r="K7" s="5" t="s">
        <v>99</v>
      </c>
      <c r="L7" s="5">
        <v>3</v>
      </c>
      <c r="M7" s="5">
        <v>3189.55</v>
      </c>
      <c r="N7" s="5">
        <v>10</v>
      </c>
      <c r="O7" s="5">
        <v>8611.78</v>
      </c>
      <c r="P7">
        <f t="shared" si="0"/>
        <v>9568.65</v>
      </c>
      <c r="Q7">
        <f t="shared" si="1"/>
        <v>956.865</v>
      </c>
      <c r="R7">
        <f t="shared" si="2"/>
        <v>8611.785</v>
      </c>
      <c r="S7" t="str">
        <f t="shared" si="3"/>
        <v>Low</v>
      </c>
      <c r="T7" t="str">
        <f t="shared" si="4"/>
        <v>Low</v>
      </c>
      <c r="U7" t="str">
        <f t="shared" si="5"/>
        <v>Heavy Discount</v>
      </c>
      <c r="V7" t="str">
        <f t="shared" si="6"/>
        <v>Excellent Sales</v>
      </c>
      <c r="W7">
        <f t="shared" si="7"/>
        <v>99</v>
      </c>
      <c r="X7">
        <f t="shared" si="8"/>
        <v>106</v>
      </c>
      <c r="Y7">
        <f t="shared" si="9"/>
        <v>60</v>
      </c>
      <c r="Z7" t="str">
        <f t="shared" si="10"/>
        <v>Not Eligible</v>
      </c>
      <c r="AA7" t="str">
        <f t="shared" si="11"/>
        <v>Prriority Order</v>
      </c>
      <c r="AB7" t="str">
        <f t="shared" si="12"/>
        <v>Online</v>
      </c>
    </row>
    <row r="8" spans="1:30">
      <c r="A8" s="5">
        <v>10007</v>
      </c>
      <c r="B8" s="5">
        <v>1700</v>
      </c>
      <c r="C8" s="6">
        <v>45054</v>
      </c>
      <c r="D8" s="6">
        <v>45054</v>
      </c>
      <c r="E8" s="5" t="s">
        <v>100</v>
      </c>
      <c r="F8" s="5" t="s">
        <v>107</v>
      </c>
      <c r="G8" s="5" t="s">
        <v>83</v>
      </c>
      <c r="H8" s="5" t="s">
        <v>110</v>
      </c>
      <c r="I8" s="5" t="s">
        <v>97</v>
      </c>
      <c r="J8" s="5" t="s">
        <v>98</v>
      </c>
      <c r="K8" s="5" t="s">
        <v>111</v>
      </c>
      <c r="L8" s="5">
        <v>5</v>
      </c>
      <c r="M8" s="5">
        <v>3030.42</v>
      </c>
      <c r="N8" s="5">
        <v>10</v>
      </c>
      <c r="O8" s="5">
        <v>13636.89</v>
      </c>
      <c r="P8">
        <f t="shared" si="0"/>
        <v>15152.1</v>
      </c>
      <c r="Q8">
        <f t="shared" si="1"/>
        <v>1515.21</v>
      </c>
      <c r="R8">
        <f t="shared" si="2"/>
        <v>13636.89</v>
      </c>
      <c r="S8" t="str">
        <f t="shared" si="3"/>
        <v>High</v>
      </c>
      <c r="T8" t="str">
        <f t="shared" si="4"/>
        <v>Medium</v>
      </c>
      <c r="U8" t="str">
        <f t="shared" si="5"/>
        <v>Heavy Discount</v>
      </c>
      <c r="V8" t="str">
        <f t="shared" si="6"/>
        <v>Excellent Sales</v>
      </c>
      <c r="W8">
        <f t="shared" si="7"/>
        <v>99</v>
      </c>
      <c r="X8">
        <f t="shared" si="8"/>
        <v>106</v>
      </c>
      <c r="Y8">
        <f t="shared" si="9"/>
        <v>60</v>
      </c>
      <c r="Z8" t="str">
        <f t="shared" si="10"/>
        <v>Not Eligible</v>
      </c>
      <c r="AA8" t="str">
        <f t="shared" si="11"/>
        <v>Prriority Order</v>
      </c>
      <c r="AB8" t="str">
        <f t="shared" si="12"/>
        <v>Online</v>
      </c>
    </row>
    <row r="9" spans="1:30">
      <c r="A9" s="5">
        <v>10008</v>
      </c>
      <c r="B9" s="5">
        <v>1020</v>
      </c>
      <c r="C9" s="6">
        <v>45041</v>
      </c>
      <c r="D9" s="6">
        <v>45041</v>
      </c>
      <c r="E9" s="5" t="s">
        <v>112</v>
      </c>
      <c r="F9" s="5" t="s">
        <v>82</v>
      </c>
      <c r="G9" s="5" t="s">
        <v>90</v>
      </c>
      <c r="H9" s="5" t="s">
        <v>84</v>
      </c>
      <c r="I9" s="5" t="s">
        <v>97</v>
      </c>
      <c r="J9" s="5" t="s">
        <v>98</v>
      </c>
      <c r="K9" s="5" t="s">
        <v>113</v>
      </c>
      <c r="L9" s="5">
        <v>4</v>
      </c>
      <c r="M9" s="5">
        <v>2310.83</v>
      </c>
      <c r="N9" s="5">
        <v>10</v>
      </c>
      <c r="O9" s="5">
        <v>8318.99</v>
      </c>
      <c r="P9">
        <f t="shared" si="0"/>
        <v>9243.32</v>
      </c>
      <c r="Q9">
        <f t="shared" si="1"/>
        <v>924.332</v>
      </c>
      <c r="R9">
        <f t="shared" si="2"/>
        <v>8318.988</v>
      </c>
      <c r="S9" t="str">
        <f t="shared" si="3"/>
        <v>Low</v>
      </c>
      <c r="T9" t="str">
        <f t="shared" si="4"/>
        <v>Low</v>
      </c>
      <c r="U9" t="str">
        <f t="shared" si="5"/>
        <v>Heavy Discount</v>
      </c>
      <c r="V9" t="str">
        <f t="shared" si="6"/>
        <v>Excellent Sales</v>
      </c>
      <c r="W9">
        <f t="shared" si="7"/>
        <v>99</v>
      </c>
      <c r="X9">
        <f t="shared" si="8"/>
        <v>106</v>
      </c>
      <c r="Y9">
        <f t="shared" si="9"/>
        <v>60</v>
      </c>
      <c r="Z9" t="str">
        <f t="shared" si="10"/>
        <v>Not Eligible</v>
      </c>
      <c r="AA9" t="str">
        <f t="shared" si="11"/>
        <v>Prriority Order</v>
      </c>
      <c r="AB9" t="str">
        <f t="shared" si="12"/>
        <v>Online</v>
      </c>
    </row>
    <row r="10" spans="1:30">
      <c r="A10" s="5">
        <v>10009</v>
      </c>
      <c r="B10" s="5">
        <v>1614</v>
      </c>
      <c r="C10" s="6">
        <v>45213</v>
      </c>
      <c r="D10" s="6">
        <v>45213</v>
      </c>
      <c r="E10" s="5" t="s">
        <v>81</v>
      </c>
      <c r="F10" s="5" t="s">
        <v>95</v>
      </c>
      <c r="G10" s="5" t="s">
        <v>90</v>
      </c>
      <c r="H10" s="5" t="s">
        <v>91</v>
      </c>
      <c r="I10" s="5" t="s">
        <v>97</v>
      </c>
      <c r="J10" s="5" t="s">
        <v>114</v>
      </c>
      <c r="K10" s="5" t="s">
        <v>94</v>
      </c>
      <c r="L10" s="5">
        <v>5</v>
      </c>
      <c r="M10" s="5">
        <v>1098.04</v>
      </c>
      <c r="N10" s="5">
        <v>15</v>
      </c>
      <c r="O10" s="5">
        <v>4666.67</v>
      </c>
      <c r="P10">
        <f t="shared" si="0"/>
        <v>5490.2</v>
      </c>
      <c r="Q10">
        <f t="shared" si="1"/>
        <v>823.53</v>
      </c>
      <c r="R10">
        <f t="shared" si="2"/>
        <v>4666.67</v>
      </c>
      <c r="S10" t="str">
        <f t="shared" si="3"/>
        <v>High</v>
      </c>
      <c r="T10" t="str">
        <f t="shared" si="4"/>
        <v>Medium</v>
      </c>
      <c r="U10" t="str">
        <f t="shared" si="5"/>
        <v>Heavy Discount</v>
      </c>
      <c r="V10" t="str">
        <f t="shared" si="6"/>
        <v>Good</v>
      </c>
      <c r="W10">
        <f t="shared" si="7"/>
        <v>99</v>
      </c>
      <c r="X10">
        <f t="shared" si="8"/>
        <v>106</v>
      </c>
      <c r="Y10">
        <f t="shared" si="9"/>
        <v>60</v>
      </c>
      <c r="Z10" t="str">
        <f t="shared" si="10"/>
        <v>Not Eligible</v>
      </c>
      <c r="AA10" t="str">
        <f t="shared" si="11"/>
        <v>Normal Order</v>
      </c>
      <c r="AB10" t="str">
        <f t="shared" si="12"/>
        <v>Online</v>
      </c>
    </row>
    <row r="11" spans="1:30">
      <c r="A11" s="5">
        <v>10010</v>
      </c>
      <c r="B11" s="5">
        <v>1121</v>
      </c>
      <c r="C11" s="6">
        <v>45147</v>
      </c>
      <c r="D11" s="6">
        <v>45147</v>
      </c>
      <c r="E11" s="5" t="s">
        <v>100</v>
      </c>
      <c r="F11" s="5" t="s">
        <v>104</v>
      </c>
      <c r="G11" s="5" t="s">
        <v>90</v>
      </c>
      <c r="H11" s="5" t="s">
        <v>101</v>
      </c>
      <c r="I11" s="5" t="s">
        <v>115</v>
      </c>
      <c r="J11" s="5" t="s">
        <v>116</v>
      </c>
      <c r="K11" s="5" t="s">
        <v>113</v>
      </c>
      <c r="L11" s="5">
        <v>5</v>
      </c>
      <c r="M11" s="5">
        <v>1780.66</v>
      </c>
      <c r="N11" s="5">
        <v>20</v>
      </c>
      <c r="O11" s="5">
        <v>7122.64</v>
      </c>
      <c r="P11">
        <f t="shared" si="0"/>
        <v>8903.3</v>
      </c>
      <c r="Q11">
        <f t="shared" si="1"/>
        <v>1780.66</v>
      </c>
      <c r="R11">
        <f t="shared" si="2"/>
        <v>7122.64</v>
      </c>
      <c r="S11" t="str">
        <f t="shared" si="3"/>
        <v>High</v>
      </c>
      <c r="T11" t="str">
        <f t="shared" si="4"/>
        <v>Medium</v>
      </c>
      <c r="U11" t="str">
        <f t="shared" si="5"/>
        <v>Heavy Discount</v>
      </c>
      <c r="V11" t="str">
        <f t="shared" si="6"/>
        <v>Excellent Sales</v>
      </c>
      <c r="W11">
        <f t="shared" si="7"/>
        <v>99</v>
      </c>
      <c r="X11">
        <f t="shared" si="8"/>
        <v>106</v>
      </c>
      <c r="Y11">
        <f t="shared" si="9"/>
        <v>60</v>
      </c>
      <c r="Z11" t="str">
        <f t="shared" si="10"/>
        <v>Not Eligible</v>
      </c>
      <c r="AA11" t="str">
        <f t="shared" si="11"/>
        <v>Prriority Order</v>
      </c>
      <c r="AB11" t="str">
        <f t="shared" si="12"/>
        <v>Online</v>
      </c>
      <c r="AD11" s="7" t="s">
        <v>117</v>
      </c>
    </row>
    <row r="12" spans="1:30">
      <c r="A12" s="5">
        <v>10011</v>
      </c>
      <c r="B12" s="5">
        <v>1466</v>
      </c>
      <c r="C12" s="6">
        <v>45106</v>
      </c>
      <c r="D12" s="6">
        <v>45106</v>
      </c>
      <c r="E12" s="5" t="s">
        <v>100</v>
      </c>
      <c r="F12" s="5" t="s">
        <v>104</v>
      </c>
      <c r="G12" s="5" t="s">
        <v>83</v>
      </c>
      <c r="H12" s="5" t="s">
        <v>101</v>
      </c>
      <c r="I12" s="5" t="s">
        <v>115</v>
      </c>
      <c r="J12" s="5" t="s">
        <v>116</v>
      </c>
      <c r="K12" s="5" t="s">
        <v>99</v>
      </c>
      <c r="L12" s="5">
        <v>6</v>
      </c>
      <c r="M12" s="5">
        <v>3205.25</v>
      </c>
      <c r="N12" s="5">
        <v>0</v>
      </c>
      <c r="O12" s="5">
        <v>19231.5</v>
      </c>
      <c r="P12">
        <f t="shared" si="0"/>
        <v>19231.5</v>
      </c>
      <c r="Q12">
        <f t="shared" si="1"/>
        <v>0</v>
      </c>
      <c r="R12">
        <f t="shared" si="2"/>
        <v>19231.5</v>
      </c>
      <c r="S12" t="str">
        <f t="shared" si="3"/>
        <v>High</v>
      </c>
      <c r="T12" t="str">
        <f t="shared" si="4"/>
        <v>High</v>
      </c>
      <c r="U12" t="str">
        <f t="shared" si="5"/>
        <v>Normal Discount</v>
      </c>
      <c r="V12" t="str">
        <f t="shared" si="6"/>
        <v>Excellent Sales</v>
      </c>
      <c r="W12">
        <f t="shared" si="7"/>
        <v>99</v>
      </c>
      <c r="X12">
        <f t="shared" si="8"/>
        <v>106</v>
      </c>
      <c r="Y12">
        <f t="shared" si="9"/>
        <v>59</v>
      </c>
      <c r="Z12" t="str">
        <f t="shared" si="10"/>
        <v>Eligible</v>
      </c>
      <c r="AA12" t="str">
        <f t="shared" si="11"/>
        <v>Prriority Order</v>
      </c>
      <c r="AB12" t="str">
        <f t="shared" si="12"/>
        <v>Online</v>
      </c>
      <c r="AD12" s="7" t="s">
        <v>118</v>
      </c>
    </row>
    <row r="13" spans="1:30">
      <c r="A13" s="5">
        <v>10012</v>
      </c>
      <c r="B13" s="5">
        <v>1214</v>
      </c>
      <c r="C13" s="6">
        <v>45220</v>
      </c>
      <c r="D13" s="6">
        <v>45220</v>
      </c>
      <c r="E13" s="5" t="s">
        <v>112</v>
      </c>
      <c r="F13" s="5" t="s">
        <v>89</v>
      </c>
      <c r="G13" s="5" t="s">
        <v>90</v>
      </c>
      <c r="H13" s="5" t="s">
        <v>110</v>
      </c>
      <c r="I13" s="5" t="s">
        <v>115</v>
      </c>
      <c r="J13" s="5" t="s">
        <v>119</v>
      </c>
      <c r="K13" s="5" t="s">
        <v>87</v>
      </c>
      <c r="L13" s="5">
        <v>6</v>
      </c>
      <c r="M13" s="5">
        <v>272.35</v>
      </c>
      <c r="N13" s="5">
        <v>5</v>
      </c>
      <c r="O13" s="5">
        <v>1552.39</v>
      </c>
      <c r="P13">
        <f t="shared" si="0"/>
        <v>1634.1</v>
      </c>
      <c r="Q13">
        <f t="shared" si="1"/>
        <v>81.705</v>
      </c>
      <c r="R13">
        <f t="shared" si="2"/>
        <v>1552.395</v>
      </c>
      <c r="S13" t="str">
        <f t="shared" si="3"/>
        <v>High</v>
      </c>
      <c r="T13" t="str">
        <f t="shared" si="4"/>
        <v>High</v>
      </c>
      <c r="U13" t="str">
        <f t="shared" si="5"/>
        <v>Heavy Discount</v>
      </c>
      <c r="V13" t="str">
        <f t="shared" si="6"/>
        <v>Average</v>
      </c>
      <c r="W13">
        <f t="shared" si="7"/>
        <v>99</v>
      </c>
      <c r="X13">
        <f t="shared" si="8"/>
        <v>106</v>
      </c>
      <c r="Y13">
        <f t="shared" si="9"/>
        <v>58</v>
      </c>
      <c r="Z13" t="str">
        <f t="shared" si="10"/>
        <v>Not Eligible</v>
      </c>
      <c r="AA13" t="str">
        <f t="shared" si="11"/>
        <v>Prriority Order</v>
      </c>
      <c r="AB13" t="str">
        <f t="shared" si="12"/>
        <v>Online</v>
      </c>
      <c r="AD13" s="7" t="s">
        <v>120</v>
      </c>
    </row>
    <row r="14" spans="1:30">
      <c r="A14" s="5">
        <v>10013</v>
      </c>
      <c r="B14" s="5">
        <v>1330</v>
      </c>
      <c r="C14" s="6">
        <v>45107</v>
      </c>
      <c r="D14" s="6">
        <v>45107</v>
      </c>
      <c r="E14" s="5" t="s">
        <v>82</v>
      </c>
      <c r="F14" s="5" t="s">
        <v>89</v>
      </c>
      <c r="G14" s="5" t="s">
        <v>83</v>
      </c>
      <c r="H14" s="5" t="s">
        <v>101</v>
      </c>
      <c r="I14" s="5" t="s">
        <v>85</v>
      </c>
      <c r="J14" s="5" t="s">
        <v>109</v>
      </c>
      <c r="K14" s="5" t="s">
        <v>87</v>
      </c>
      <c r="L14" s="5">
        <v>8</v>
      </c>
      <c r="M14" s="5">
        <v>3160.9</v>
      </c>
      <c r="N14" s="5">
        <v>0</v>
      </c>
      <c r="O14" s="5">
        <v>25287.2</v>
      </c>
      <c r="P14">
        <f t="shared" si="0"/>
        <v>25287.2</v>
      </c>
      <c r="Q14">
        <f t="shared" si="1"/>
        <v>0</v>
      </c>
      <c r="R14">
        <f t="shared" si="2"/>
        <v>25287.2</v>
      </c>
      <c r="S14" t="str">
        <f t="shared" si="3"/>
        <v>High</v>
      </c>
      <c r="T14" t="str">
        <f t="shared" si="4"/>
        <v>High</v>
      </c>
      <c r="U14" t="str">
        <f t="shared" si="5"/>
        <v>Normal Discount</v>
      </c>
      <c r="V14" t="str">
        <f t="shared" si="6"/>
        <v>Excellent Sales</v>
      </c>
      <c r="W14">
        <f t="shared" si="7"/>
        <v>99</v>
      </c>
      <c r="X14">
        <f t="shared" si="8"/>
        <v>106</v>
      </c>
      <c r="Y14">
        <f t="shared" si="9"/>
        <v>57</v>
      </c>
      <c r="Z14" t="str">
        <f t="shared" si="10"/>
        <v>Eligible</v>
      </c>
      <c r="AA14" t="str">
        <f t="shared" si="11"/>
        <v>Prriority Order</v>
      </c>
      <c r="AB14" t="str">
        <f t="shared" si="12"/>
        <v>Online</v>
      </c>
      <c r="AD14" s="7" t="s">
        <v>121</v>
      </c>
    </row>
    <row r="15" spans="1:30">
      <c r="A15" s="5">
        <v>10014</v>
      </c>
      <c r="B15" s="5">
        <v>1458</v>
      </c>
      <c r="C15" s="6">
        <v>45045</v>
      </c>
      <c r="D15" s="6">
        <v>45045</v>
      </c>
      <c r="E15" s="5" t="s">
        <v>103</v>
      </c>
      <c r="F15" s="5" t="s">
        <v>104</v>
      </c>
      <c r="G15" s="5" t="s">
        <v>96</v>
      </c>
      <c r="H15" s="5" t="s">
        <v>101</v>
      </c>
      <c r="I15" s="5" t="s">
        <v>92</v>
      </c>
      <c r="J15" s="5" t="s">
        <v>102</v>
      </c>
      <c r="K15" s="5" t="s">
        <v>94</v>
      </c>
      <c r="L15" s="5">
        <v>8</v>
      </c>
      <c r="M15" s="5">
        <v>1074.27</v>
      </c>
      <c r="N15" s="5">
        <v>15</v>
      </c>
      <c r="O15" s="5">
        <v>7305.04</v>
      </c>
      <c r="P15">
        <f t="shared" si="0"/>
        <v>8594.16</v>
      </c>
      <c r="Q15">
        <f t="shared" si="1"/>
        <v>1289.124</v>
      </c>
      <c r="R15">
        <f t="shared" si="2"/>
        <v>7305.036</v>
      </c>
      <c r="S15" t="str">
        <f t="shared" si="3"/>
        <v>High</v>
      </c>
      <c r="T15" t="str">
        <f t="shared" si="4"/>
        <v>High</v>
      </c>
      <c r="U15" t="str">
        <f t="shared" si="5"/>
        <v>Heavy Discount</v>
      </c>
      <c r="V15" t="str">
        <f t="shared" si="6"/>
        <v>Excellent Sales</v>
      </c>
      <c r="W15">
        <f t="shared" si="7"/>
        <v>99</v>
      </c>
      <c r="X15">
        <f t="shared" si="8"/>
        <v>106</v>
      </c>
      <c r="Y15">
        <f t="shared" si="9"/>
        <v>57</v>
      </c>
      <c r="Z15" t="str">
        <f t="shared" si="10"/>
        <v>Not Eligible</v>
      </c>
      <c r="AA15" t="str">
        <f t="shared" si="11"/>
        <v>Prriority Order</v>
      </c>
      <c r="AB15" t="str">
        <f t="shared" si="12"/>
        <v/>
      </c>
      <c r="AD15" s="7" t="s">
        <v>122</v>
      </c>
    </row>
    <row r="16" spans="1:30">
      <c r="A16" s="5">
        <v>10015</v>
      </c>
      <c r="B16" s="5">
        <v>1087</v>
      </c>
      <c r="C16" s="6">
        <v>45057</v>
      </c>
      <c r="D16" s="6">
        <v>45057</v>
      </c>
      <c r="E16" s="5" t="s">
        <v>106</v>
      </c>
      <c r="F16" s="5" t="s">
        <v>89</v>
      </c>
      <c r="G16" s="5" t="s">
        <v>90</v>
      </c>
      <c r="H16" s="5" t="s">
        <v>84</v>
      </c>
      <c r="I16" s="5" t="s">
        <v>123</v>
      </c>
      <c r="J16" s="5" t="s">
        <v>124</v>
      </c>
      <c r="K16" s="5" t="s">
        <v>87</v>
      </c>
      <c r="L16" s="5">
        <v>9</v>
      </c>
      <c r="M16" s="5">
        <v>705.59</v>
      </c>
      <c r="N16" s="5">
        <v>10</v>
      </c>
      <c r="O16" s="5">
        <v>5715.28</v>
      </c>
      <c r="P16">
        <f t="shared" si="0"/>
        <v>6350.31</v>
      </c>
      <c r="Q16">
        <f t="shared" si="1"/>
        <v>635.031</v>
      </c>
      <c r="R16">
        <f t="shared" si="2"/>
        <v>5715.279</v>
      </c>
      <c r="S16" t="str">
        <f t="shared" si="3"/>
        <v>High</v>
      </c>
      <c r="T16" t="str">
        <f t="shared" si="4"/>
        <v>High</v>
      </c>
      <c r="U16" t="str">
        <f t="shared" si="5"/>
        <v>Heavy Discount</v>
      </c>
      <c r="V16" t="str">
        <f t="shared" si="6"/>
        <v>Good</v>
      </c>
      <c r="W16">
        <f t="shared" si="7"/>
        <v>99</v>
      </c>
      <c r="X16">
        <f t="shared" si="8"/>
        <v>106</v>
      </c>
      <c r="Y16">
        <f t="shared" si="9"/>
        <v>57</v>
      </c>
      <c r="Z16" t="str">
        <f t="shared" si="10"/>
        <v>Not Eligible</v>
      </c>
      <c r="AA16" t="str">
        <f t="shared" si="11"/>
        <v>Prriority Order</v>
      </c>
      <c r="AB16" t="str">
        <f t="shared" si="12"/>
        <v>Online</v>
      </c>
      <c r="AD16" s="7" t="s">
        <v>125</v>
      </c>
    </row>
    <row r="17" spans="1:30">
      <c r="A17" s="5">
        <v>10016</v>
      </c>
      <c r="B17" s="5">
        <v>1372</v>
      </c>
      <c r="C17" s="6">
        <v>44961</v>
      </c>
      <c r="D17" s="6">
        <v>44961</v>
      </c>
      <c r="E17" s="5" t="s">
        <v>88</v>
      </c>
      <c r="F17" s="5" t="s">
        <v>95</v>
      </c>
      <c r="G17" s="5" t="s">
        <v>83</v>
      </c>
      <c r="H17" s="5" t="s">
        <v>108</v>
      </c>
      <c r="I17" s="5" t="s">
        <v>97</v>
      </c>
      <c r="J17" s="5" t="s">
        <v>105</v>
      </c>
      <c r="K17" s="5" t="s">
        <v>87</v>
      </c>
      <c r="L17" s="5">
        <v>8</v>
      </c>
      <c r="M17" s="5">
        <v>595.45</v>
      </c>
      <c r="N17" s="5">
        <v>5</v>
      </c>
      <c r="O17" s="5">
        <v>4525.42</v>
      </c>
      <c r="P17">
        <f t="shared" si="0"/>
        <v>4763.6</v>
      </c>
      <c r="Q17">
        <f t="shared" si="1"/>
        <v>238.18</v>
      </c>
      <c r="R17">
        <f t="shared" si="2"/>
        <v>4525.42</v>
      </c>
      <c r="S17" t="str">
        <f t="shared" si="3"/>
        <v>High</v>
      </c>
      <c r="T17" t="str">
        <f t="shared" si="4"/>
        <v>High</v>
      </c>
      <c r="U17" t="str">
        <f t="shared" si="5"/>
        <v>Heavy Discount</v>
      </c>
      <c r="V17" t="str">
        <f t="shared" si="6"/>
        <v>Good</v>
      </c>
      <c r="W17">
        <f t="shared" si="7"/>
        <v>99</v>
      </c>
      <c r="X17">
        <f t="shared" si="8"/>
        <v>106</v>
      </c>
      <c r="Y17">
        <f t="shared" si="9"/>
        <v>57</v>
      </c>
      <c r="Z17" t="str">
        <f t="shared" si="10"/>
        <v>Not Eligible</v>
      </c>
      <c r="AA17" t="str">
        <f t="shared" si="11"/>
        <v>Prriority Order</v>
      </c>
      <c r="AB17" t="str">
        <f t="shared" si="12"/>
        <v>Online</v>
      </c>
      <c r="AD17" s="7" t="s">
        <v>126</v>
      </c>
    </row>
    <row r="18" spans="1:30">
      <c r="A18" s="5">
        <v>10017</v>
      </c>
      <c r="B18" s="5">
        <v>1099</v>
      </c>
      <c r="C18" s="6">
        <v>45151</v>
      </c>
      <c r="D18" s="6">
        <v>45151</v>
      </c>
      <c r="E18" s="5" t="s">
        <v>82</v>
      </c>
      <c r="F18" s="5" t="s">
        <v>127</v>
      </c>
      <c r="G18" s="5" t="s">
        <v>83</v>
      </c>
      <c r="H18" s="5" t="s">
        <v>110</v>
      </c>
      <c r="I18" s="5" t="s">
        <v>97</v>
      </c>
      <c r="J18" s="5" t="s">
        <v>105</v>
      </c>
      <c r="K18" s="5" t="s">
        <v>94</v>
      </c>
      <c r="L18" s="5">
        <v>2</v>
      </c>
      <c r="M18" s="5">
        <v>254.91</v>
      </c>
      <c r="N18" s="5">
        <v>15</v>
      </c>
      <c r="O18" s="5">
        <v>433.35</v>
      </c>
      <c r="P18">
        <f t="shared" si="0"/>
        <v>509.82</v>
      </c>
      <c r="Q18">
        <f t="shared" si="1"/>
        <v>76.473</v>
      </c>
      <c r="R18">
        <f t="shared" si="2"/>
        <v>433.347</v>
      </c>
      <c r="S18" t="str">
        <f t="shared" si="3"/>
        <v>Low</v>
      </c>
      <c r="T18" t="str">
        <f t="shared" si="4"/>
        <v>Low</v>
      </c>
      <c r="U18" t="str">
        <f t="shared" si="5"/>
        <v>Heavy Discount</v>
      </c>
      <c r="V18" t="str">
        <f t="shared" si="6"/>
        <v>Average</v>
      </c>
      <c r="W18">
        <f t="shared" si="7"/>
        <v>99</v>
      </c>
      <c r="X18">
        <f t="shared" si="8"/>
        <v>106</v>
      </c>
      <c r="Y18">
        <f t="shared" si="9"/>
        <v>57</v>
      </c>
      <c r="Z18" t="str">
        <f t="shared" si="10"/>
        <v>Not Eligible</v>
      </c>
      <c r="AA18" t="str">
        <f t="shared" si="11"/>
        <v>Normal Order</v>
      </c>
      <c r="AB18" t="str">
        <f t="shared" si="12"/>
        <v>Online</v>
      </c>
      <c r="AD18" s="7" t="s">
        <v>128</v>
      </c>
    </row>
    <row r="19" spans="1:30">
      <c r="A19" s="5">
        <v>10018</v>
      </c>
      <c r="B19" s="5">
        <v>1871</v>
      </c>
      <c r="C19" s="6">
        <v>45048</v>
      </c>
      <c r="D19" s="6">
        <v>45048</v>
      </c>
      <c r="E19" s="5" t="s">
        <v>81</v>
      </c>
      <c r="F19" s="5" t="s">
        <v>95</v>
      </c>
      <c r="G19" s="5" t="s">
        <v>90</v>
      </c>
      <c r="H19" s="5" t="s">
        <v>84</v>
      </c>
      <c r="I19" s="5" t="s">
        <v>85</v>
      </c>
      <c r="J19" s="5" t="s">
        <v>129</v>
      </c>
      <c r="K19" s="5" t="s">
        <v>94</v>
      </c>
      <c r="L19" s="5">
        <v>1</v>
      </c>
      <c r="M19" s="5">
        <v>2165.81</v>
      </c>
      <c r="N19" s="5">
        <v>15</v>
      </c>
      <c r="O19" s="5">
        <v>1840.94</v>
      </c>
      <c r="P19">
        <f t="shared" si="0"/>
        <v>2165.81</v>
      </c>
      <c r="Q19">
        <f t="shared" si="1"/>
        <v>324.8715</v>
      </c>
      <c r="R19">
        <f t="shared" si="2"/>
        <v>1840.9385</v>
      </c>
      <c r="S19" t="str">
        <f t="shared" si="3"/>
        <v>Low</v>
      </c>
      <c r="T19" t="str">
        <f t="shared" si="4"/>
        <v>Low</v>
      </c>
      <c r="U19" t="str">
        <f t="shared" si="5"/>
        <v>Heavy Discount</v>
      </c>
      <c r="V19" t="str">
        <f t="shared" si="6"/>
        <v>Average</v>
      </c>
      <c r="W19">
        <f t="shared" si="7"/>
        <v>99</v>
      </c>
      <c r="X19">
        <f t="shared" si="8"/>
        <v>106</v>
      </c>
      <c r="Y19">
        <f t="shared" si="9"/>
        <v>57</v>
      </c>
      <c r="Z19" t="str">
        <f t="shared" si="10"/>
        <v>Not Eligible</v>
      </c>
      <c r="AA19" t="str">
        <f t="shared" si="11"/>
        <v>Normal Order</v>
      </c>
      <c r="AB19" t="str">
        <f t="shared" si="12"/>
        <v>Online</v>
      </c>
      <c r="AD19" s="7" t="s">
        <v>130</v>
      </c>
    </row>
    <row r="20" spans="1:30">
      <c r="A20" s="5">
        <v>10019</v>
      </c>
      <c r="B20" s="5">
        <v>1663</v>
      </c>
      <c r="C20" s="6">
        <v>44968</v>
      </c>
      <c r="D20" s="6">
        <v>44968</v>
      </c>
      <c r="E20" s="5" t="s">
        <v>100</v>
      </c>
      <c r="F20" s="5" t="s">
        <v>104</v>
      </c>
      <c r="G20" s="5" t="s">
        <v>96</v>
      </c>
      <c r="H20" s="5" t="s">
        <v>108</v>
      </c>
      <c r="I20" s="5" t="s">
        <v>97</v>
      </c>
      <c r="J20" s="5" t="s">
        <v>105</v>
      </c>
      <c r="K20" s="5" t="s">
        <v>99</v>
      </c>
      <c r="L20" s="5">
        <v>2</v>
      </c>
      <c r="M20" s="5">
        <v>990.3</v>
      </c>
      <c r="N20" s="5">
        <v>15</v>
      </c>
      <c r="O20" s="5">
        <v>1683.51</v>
      </c>
      <c r="P20">
        <f t="shared" si="0"/>
        <v>1980.6</v>
      </c>
      <c r="Q20">
        <f t="shared" si="1"/>
        <v>297.09</v>
      </c>
      <c r="R20">
        <f t="shared" si="2"/>
        <v>1683.51</v>
      </c>
      <c r="S20" t="str">
        <f t="shared" si="3"/>
        <v>Low</v>
      </c>
      <c r="T20" t="str">
        <f t="shared" si="4"/>
        <v>Low</v>
      </c>
      <c r="U20" t="str">
        <f t="shared" si="5"/>
        <v>Heavy Discount</v>
      </c>
      <c r="V20" t="str">
        <f t="shared" si="6"/>
        <v>Average</v>
      </c>
      <c r="W20">
        <f t="shared" si="7"/>
        <v>99</v>
      </c>
      <c r="X20">
        <f t="shared" si="8"/>
        <v>106</v>
      </c>
      <c r="Y20">
        <f t="shared" si="9"/>
        <v>57</v>
      </c>
      <c r="Z20" t="str">
        <f t="shared" si="10"/>
        <v>Not Eligible</v>
      </c>
      <c r="AA20" t="str">
        <f t="shared" si="11"/>
        <v>Normal Order</v>
      </c>
      <c r="AB20" t="str">
        <f t="shared" si="12"/>
        <v/>
      </c>
    </row>
    <row r="21" spans="1:30">
      <c r="A21" s="5">
        <v>10020</v>
      </c>
      <c r="B21" s="5">
        <v>1130</v>
      </c>
      <c r="C21" s="6">
        <v>45203</v>
      </c>
      <c r="D21" s="6">
        <v>45203</v>
      </c>
      <c r="E21" s="5" t="s">
        <v>112</v>
      </c>
      <c r="F21" s="5" t="s">
        <v>104</v>
      </c>
      <c r="G21" s="5" t="s">
        <v>83</v>
      </c>
      <c r="H21" s="5" t="s">
        <v>84</v>
      </c>
      <c r="I21" s="5" t="s">
        <v>115</v>
      </c>
      <c r="J21" s="5" t="s">
        <v>119</v>
      </c>
      <c r="K21" s="5" t="s">
        <v>87</v>
      </c>
      <c r="L21" s="5">
        <v>2</v>
      </c>
      <c r="M21" s="5">
        <v>3959.31</v>
      </c>
      <c r="N21" s="5">
        <v>5</v>
      </c>
      <c r="O21" s="5">
        <v>7522.69</v>
      </c>
      <c r="P21">
        <f t="shared" si="0"/>
        <v>7918.62</v>
      </c>
      <c r="Q21">
        <f t="shared" si="1"/>
        <v>395.931</v>
      </c>
      <c r="R21">
        <f t="shared" si="2"/>
        <v>7522.689</v>
      </c>
      <c r="S21" t="str">
        <f t="shared" si="3"/>
        <v>Low</v>
      </c>
      <c r="T21" t="str">
        <f t="shared" si="4"/>
        <v>Low</v>
      </c>
      <c r="U21" t="str">
        <f t="shared" si="5"/>
        <v>Heavy Discount</v>
      </c>
      <c r="V21" t="str">
        <f t="shared" si="6"/>
        <v>Excellent Sales</v>
      </c>
      <c r="W21">
        <f t="shared" si="7"/>
        <v>99</v>
      </c>
      <c r="X21">
        <f t="shared" si="8"/>
        <v>106</v>
      </c>
      <c r="Y21">
        <f t="shared" si="9"/>
        <v>57</v>
      </c>
      <c r="Z21" t="str">
        <f t="shared" si="10"/>
        <v>Not Eligible</v>
      </c>
      <c r="AA21" t="str">
        <f t="shared" si="11"/>
        <v>Prriority Order</v>
      </c>
      <c r="AB21" t="str">
        <f t="shared" si="12"/>
        <v>Online</v>
      </c>
    </row>
    <row r="22" spans="1:30">
      <c r="A22" s="5">
        <v>10021</v>
      </c>
      <c r="B22" s="5">
        <v>1661</v>
      </c>
      <c r="C22" s="6">
        <v>45163</v>
      </c>
      <c r="D22" s="6">
        <v>45163</v>
      </c>
      <c r="E22" s="5" t="s">
        <v>112</v>
      </c>
      <c r="F22" s="5" t="s">
        <v>95</v>
      </c>
      <c r="G22" s="5" t="s">
        <v>90</v>
      </c>
      <c r="H22" s="5" t="s">
        <v>84</v>
      </c>
      <c r="I22" s="5" t="s">
        <v>123</v>
      </c>
      <c r="J22" s="5" t="s">
        <v>131</v>
      </c>
      <c r="K22" s="5" t="s">
        <v>87</v>
      </c>
      <c r="L22" s="5">
        <v>3</v>
      </c>
      <c r="M22" s="5">
        <v>2361.58</v>
      </c>
      <c r="N22" s="5">
        <v>5</v>
      </c>
      <c r="O22" s="5">
        <v>6730.5</v>
      </c>
      <c r="P22">
        <f t="shared" si="0"/>
        <v>7084.74</v>
      </c>
      <c r="Q22">
        <f t="shared" si="1"/>
        <v>354.237</v>
      </c>
      <c r="R22">
        <f t="shared" si="2"/>
        <v>6730.503</v>
      </c>
      <c r="S22" t="str">
        <f t="shared" si="3"/>
        <v>Low</v>
      </c>
      <c r="T22" t="str">
        <f t="shared" si="4"/>
        <v>Low</v>
      </c>
      <c r="U22" t="str">
        <f t="shared" si="5"/>
        <v>Heavy Discount</v>
      </c>
      <c r="V22" t="str">
        <f t="shared" si="6"/>
        <v>Good</v>
      </c>
      <c r="W22">
        <f t="shared" si="7"/>
        <v>99</v>
      </c>
      <c r="X22">
        <f t="shared" si="8"/>
        <v>106</v>
      </c>
      <c r="Y22">
        <f t="shared" si="9"/>
        <v>56</v>
      </c>
      <c r="Z22" t="str">
        <f t="shared" si="10"/>
        <v>Not Eligible</v>
      </c>
      <c r="AA22" t="str">
        <f t="shared" si="11"/>
        <v>Normal Order</v>
      </c>
      <c r="AB22" t="str">
        <f t="shared" si="12"/>
        <v>Online</v>
      </c>
    </row>
    <row r="23" spans="1:30">
      <c r="A23" s="5">
        <v>10022</v>
      </c>
      <c r="B23" s="5">
        <v>1308</v>
      </c>
      <c r="C23" s="6">
        <v>44951</v>
      </c>
      <c r="D23" s="6">
        <v>44951</v>
      </c>
      <c r="E23" s="5" t="s">
        <v>103</v>
      </c>
      <c r="F23" s="5" t="s">
        <v>89</v>
      </c>
      <c r="G23" s="5" t="s">
        <v>96</v>
      </c>
      <c r="H23" s="5" t="s">
        <v>101</v>
      </c>
      <c r="I23" s="5" t="s">
        <v>132</v>
      </c>
      <c r="J23" s="5" t="s">
        <v>133</v>
      </c>
      <c r="K23" s="5" t="s">
        <v>99</v>
      </c>
      <c r="L23" s="5">
        <v>7</v>
      </c>
      <c r="M23" s="5">
        <v>680.86</v>
      </c>
      <c r="N23" s="5">
        <v>20</v>
      </c>
      <c r="O23" s="5">
        <v>3812.82</v>
      </c>
      <c r="P23">
        <f t="shared" si="0"/>
        <v>4766.02</v>
      </c>
      <c r="Q23">
        <f t="shared" si="1"/>
        <v>953.204</v>
      </c>
      <c r="R23">
        <f t="shared" si="2"/>
        <v>3812.816</v>
      </c>
      <c r="S23" t="str">
        <f t="shared" si="3"/>
        <v>High</v>
      </c>
      <c r="T23" t="str">
        <f t="shared" si="4"/>
        <v>High</v>
      </c>
      <c r="U23" t="str">
        <f t="shared" si="5"/>
        <v>Heavy Discount</v>
      </c>
      <c r="V23" t="str">
        <f t="shared" si="6"/>
        <v>Average</v>
      </c>
      <c r="W23">
        <f t="shared" si="7"/>
        <v>99</v>
      </c>
      <c r="X23">
        <f t="shared" si="8"/>
        <v>106</v>
      </c>
      <c r="Y23">
        <f t="shared" si="9"/>
        <v>56</v>
      </c>
      <c r="Z23" t="str">
        <f t="shared" si="10"/>
        <v>Not Eligible</v>
      </c>
      <c r="AA23" t="str">
        <f t="shared" si="11"/>
        <v>Prriority Order</v>
      </c>
      <c r="AB23" t="str">
        <f t="shared" si="12"/>
        <v/>
      </c>
    </row>
    <row r="24" spans="1:30">
      <c r="A24" s="5">
        <v>10023</v>
      </c>
      <c r="B24" s="5">
        <v>1769</v>
      </c>
      <c r="C24" s="6">
        <v>45084</v>
      </c>
      <c r="D24" s="6">
        <v>45084</v>
      </c>
      <c r="E24" s="5" t="s">
        <v>82</v>
      </c>
      <c r="F24" s="5" t="s">
        <v>89</v>
      </c>
      <c r="G24" s="5" t="s">
        <v>83</v>
      </c>
      <c r="H24" s="5" t="s">
        <v>108</v>
      </c>
      <c r="I24" s="5" t="s">
        <v>97</v>
      </c>
      <c r="J24" s="5" t="s">
        <v>98</v>
      </c>
      <c r="K24" s="5" t="s">
        <v>111</v>
      </c>
      <c r="L24" s="5">
        <v>2</v>
      </c>
      <c r="M24" s="5">
        <v>2801.74</v>
      </c>
      <c r="N24" s="5">
        <v>20</v>
      </c>
      <c r="O24" s="5">
        <v>4482.78</v>
      </c>
      <c r="P24">
        <f t="shared" si="0"/>
        <v>5603.48</v>
      </c>
      <c r="Q24">
        <f t="shared" si="1"/>
        <v>1120.696</v>
      </c>
      <c r="R24">
        <f t="shared" si="2"/>
        <v>4482.784</v>
      </c>
      <c r="S24" t="str">
        <f t="shared" si="3"/>
        <v>Low</v>
      </c>
      <c r="T24" t="str">
        <f t="shared" si="4"/>
        <v>Low</v>
      </c>
      <c r="U24" t="str">
        <f t="shared" si="5"/>
        <v>Heavy Discount</v>
      </c>
      <c r="V24" t="str">
        <f t="shared" si="6"/>
        <v>Good</v>
      </c>
      <c r="W24">
        <f t="shared" si="7"/>
        <v>99</v>
      </c>
      <c r="X24">
        <f t="shared" si="8"/>
        <v>106</v>
      </c>
      <c r="Y24">
        <f t="shared" si="9"/>
        <v>56</v>
      </c>
      <c r="Z24" t="str">
        <f t="shared" si="10"/>
        <v>Not Eligible</v>
      </c>
      <c r="AA24" t="str">
        <f t="shared" si="11"/>
        <v>Normal Order</v>
      </c>
      <c r="AB24" t="str">
        <f t="shared" si="12"/>
        <v>Online</v>
      </c>
    </row>
    <row r="25" spans="1:30">
      <c r="A25" s="5">
        <v>10024</v>
      </c>
      <c r="B25" s="5">
        <v>1343</v>
      </c>
      <c r="C25" s="6">
        <v>45082</v>
      </c>
      <c r="D25" s="6">
        <v>45082</v>
      </c>
      <c r="E25" s="5" t="s">
        <v>88</v>
      </c>
      <c r="F25" s="5" t="s">
        <v>107</v>
      </c>
      <c r="G25" s="5" t="s">
        <v>83</v>
      </c>
      <c r="H25" s="5" t="s">
        <v>110</v>
      </c>
      <c r="I25" s="5" t="s">
        <v>115</v>
      </c>
      <c r="J25" s="5" t="s">
        <v>119</v>
      </c>
      <c r="K25" s="5" t="s">
        <v>111</v>
      </c>
      <c r="L25" s="5">
        <v>1</v>
      </c>
      <c r="M25" s="5">
        <v>3606.31</v>
      </c>
      <c r="N25" s="5">
        <v>0</v>
      </c>
      <c r="O25" s="5">
        <v>3606.31</v>
      </c>
      <c r="P25">
        <f t="shared" si="0"/>
        <v>3606.31</v>
      </c>
      <c r="Q25">
        <f t="shared" si="1"/>
        <v>0</v>
      </c>
      <c r="R25">
        <f t="shared" si="2"/>
        <v>3606.31</v>
      </c>
      <c r="S25" t="str">
        <f t="shared" si="3"/>
        <v>Low</v>
      </c>
      <c r="T25" t="str">
        <f t="shared" si="4"/>
        <v>Low</v>
      </c>
      <c r="U25" t="str">
        <f t="shared" si="5"/>
        <v>Normal Discount</v>
      </c>
      <c r="V25" t="str">
        <f t="shared" si="6"/>
        <v>Average</v>
      </c>
      <c r="W25">
        <f t="shared" si="7"/>
        <v>99</v>
      </c>
      <c r="X25">
        <f t="shared" si="8"/>
        <v>106</v>
      </c>
      <c r="Y25">
        <f t="shared" si="9"/>
        <v>56</v>
      </c>
      <c r="Z25" t="str">
        <f t="shared" si="10"/>
        <v>Eligible</v>
      </c>
      <c r="AA25" t="str">
        <f t="shared" si="11"/>
        <v>Normal Order</v>
      </c>
      <c r="AB25" t="str">
        <f t="shared" si="12"/>
        <v>Online</v>
      </c>
    </row>
    <row r="26" spans="1:30">
      <c r="A26" s="5">
        <v>10025</v>
      </c>
      <c r="B26" s="5">
        <v>1491</v>
      </c>
      <c r="C26" s="6">
        <v>45061</v>
      </c>
      <c r="D26" s="6">
        <v>45061</v>
      </c>
      <c r="E26" s="5" t="s">
        <v>103</v>
      </c>
      <c r="F26" s="5" t="s">
        <v>104</v>
      </c>
      <c r="G26" s="5" t="s">
        <v>96</v>
      </c>
      <c r="H26" s="5" t="s">
        <v>110</v>
      </c>
      <c r="I26" s="5" t="s">
        <v>132</v>
      </c>
      <c r="J26" s="5" t="s">
        <v>134</v>
      </c>
      <c r="K26" s="5" t="s">
        <v>111</v>
      </c>
      <c r="L26" s="5">
        <v>6</v>
      </c>
      <c r="M26" s="5">
        <v>3018.94</v>
      </c>
      <c r="N26" s="5">
        <v>5</v>
      </c>
      <c r="O26" s="5">
        <v>17207.96</v>
      </c>
      <c r="P26">
        <f t="shared" si="0"/>
        <v>18113.64</v>
      </c>
      <c r="Q26">
        <f t="shared" si="1"/>
        <v>905.682</v>
      </c>
      <c r="R26">
        <f t="shared" si="2"/>
        <v>17207.958</v>
      </c>
      <c r="S26" t="str">
        <f t="shared" si="3"/>
        <v>High</v>
      </c>
      <c r="T26" t="str">
        <f t="shared" si="4"/>
        <v>High</v>
      </c>
      <c r="U26" t="str">
        <f t="shared" si="5"/>
        <v>Heavy Discount</v>
      </c>
      <c r="V26" t="str">
        <f t="shared" si="6"/>
        <v>Excellent Sales</v>
      </c>
      <c r="W26">
        <f t="shared" si="7"/>
        <v>99</v>
      </c>
      <c r="X26">
        <f t="shared" si="8"/>
        <v>106</v>
      </c>
      <c r="Y26">
        <f t="shared" si="9"/>
        <v>55</v>
      </c>
      <c r="Z26" t="str">
        <f t="shared" si="10"/>
        <v>Not Eligible</v>
      </c>
      <c r="AA26" t="str">
        <f t="shared" si="11"/>
        <v>Prriority Order</v>
      </c>
      <c r="AB26" t="str">
        <f t="shared" si="12"/>
        <v/>
      </c>
    </row>
    <row r="27" spans="1:30">
      <c r="A27" s="5">
        <v>10026</v>
      </c>
      <c r="B27" s="5">
        <v>1413</v>
      </c>
      <c r="C27" s="6">
        <v>45231</v>
      </c>
      <c r="D27" s="6">
        <v>45231</v>
      </c>
      <c r="E27" s="5" t="s">
        <v>100</v>
      </c>
      <c r="F27" s="5" t="s">
        <v>82</v>
      </c>
      <c r="G27" s="5" t="s">
        <v>96</v>
      </c>
      <c r="H27" s="5" t="s">
        <v>108</v>
      </c>
      <c r="I27" s="5" t="s">
        <v>123</v>
      </c>
      <c r="J27" s="5" t="s">
        <v>135</v>
      </c>
      <c r="K27" s="5" t="s">
        <v>99</v>
      </c>
      <c r="L27" s="5">
        <v>9</v>
      </c>
      <c r="M27" s="5">
        <v>444.29</v>
      </c>
      <c r="N27" s="5">
        <v>5</v>
      </c>
      <c r="O27" s="5">
        <v>3798.68</v>
      </c>
      <c r="P27">
        <f t="shared" si="0"/>
        <v>3998.61</v>
      </c>
      <c r="Q27">
        <f t="shared" si="1"/>
        <v>199.9305</v>
      </c>
      <c r="R27">
        <f t="shared" si="2"/>
        <v>3798.6795</v>
      </c>
      <c r="S27" t="str">
        <f t="shared" si="3"/>
        <v>High</v>
      </c>
      <c r="T27" t="str">
        <f t="shared" si="4"/>
        <v>High</v>
      </c>
      <c r="U27" t="str">
        <f t="shared" si="5"/>
        <v>Heavy Discount</v>
      </c>
      <c r="V27" t="str">
        <f t="shared" si="6"/>
        <v>Average</v>
      </c>
      <c r="W27">
        <f t="shared" si="7"/>
        <v>99</v>
      </c>
      <c r="X27">
        <f t="shared" si="8"/>
        <v>106</v>
      </c>
      <c r="Y27">
        <f t="shared" si="9"/>
        <v>55</v>
      </c>
      <c r="Z27" t="str">
        <f t="shared" si="10"/>
        <v>Not Eligible</v>
      </c>
      <c r="AA27" t="str">
        <f t="shared" si="11"/>
        <v>Prriority Order</v>
      </c>
      <c r="AB27" t="str">
        <f t="shared" si="12"/>
        <v/>
      </c>
    </row>
    <row r="28" spans="1:30">
      <c r="A28" s="5">
        <v>10027</v>
      </c>
      <c r="B28" s="5">
        <v>1805</v>
      </c>
      <c r="C28" s="6">
        <v>45290</v>
      </c>
      <c r="D28" s="6">
        <v>45290</v>
      </c>
      <c r="E28" s="5" t="s">
        <v>103</v>
      </c>
      <c r="F28" s="5" t="s">
        <v>107</v>
      </c>
      <c r="G28" s="5" t="s">
        <v>90</v>
      </c>
      <c r="H28" s="5" t="s">
        <v>101</v>
      </c>
      <c r="I28" s="5" t="s">
        <v>132</v>
      </c>
      <c r="J28" s="5" t="s">
        <v>133</v>
      </c>
      <c r="K28" s="5" t="s">
        <v>87</v>
      </c>
      <c r="L28" s="5">
        <v>3</v>
      </c>
      <c r="M28" s="5">
        <v>3599.15</v>
      </c>
      <c r="N28" s="5">
        <v>5</v>
      </c>
      <c r="O28" s="5">
        <v>10257.58</v>
      </c>
      <c r="P28">
        <f t="shared" si="0"/>
        <v>10797.45</v>
      </c>
      <c r="Q28">
        <f t="shared" si="1"/>
        <v>539.8725</v>
      </c>
      <c r="R28">
        <f t="shared" si="2"/>
        <v>10257.5775</v>
      </c>
      <c r="S28" t="str">
        <f t="shared" si="3"/>
        <v>Low</v>
      </c>
      <c r="T28" t="str">
        <f t="shared" si="4"/>
        <v>Low</v>
      </c>
      <c r="U28" t="str">
        <f t="shared" si="5"/>
        <v>Heavy Discount</v>
      </c>
      <c r="V28" t="str">
        <f t="shared" si="6"/>
        <v>Excellent Sales</v>
      </c>
      <c r="W28">
        <f t="shared" si="7"/>
        <v>99</v>
      </c>
      <c r="X28">
        <f t="shared" si="8"/>
        <v>106</v>
      </c>
      <c r="Y28">
        <f t="shared" si="9"/>
        <v>55</v>
      </c>
      <c r="Z28" t="str">
        <f t="shared" si="10"/>
        <v>Not Eligible</v>
      </c>
      <c r="AA28" t="str">
        <f t="shared" si="11"/>
        <v>Prriority Order</v>
      </c>
      <c r="AB28" t="str">
        <f t="shared" si="12"/>
        <v>Online</v>
      </c>
    </row>
    <row r="29" spans="1:30">
      <c r="A29" s="5">
        <v>10028</v>
      </c>
      <c r="B29" s="5">
        <v>1385</v>
      </c>
      <c r="C29" s="6">
        <v>45172</v>
      </c>
      <c r="D29" s="6">
        <v>45172</v>
      </c>
      <c r="E29" s="5" t="s">
        <v>106</v>
      </c>
      <c r="F29" s="5" t="s">
        <v>89</v>
      </c>
      <c r="G29" s="5" t="s">
        <v>90</v>
      </c>
      <c r="H29" s="5" t="s">
        <v>91</v>
      </c>
      <c r="I29" s="5" t="s">
        <v>115</v>
      </c>
      <c r="J29" s="5" t="s">
        <v>119</v>
      </c>
      <c r="K29" s="5" t="s">
        <v>99</v>
      </c>
      <c r="L29" s="5">
        <v>6</v>
      </c>
      <c r="M29" s="5">
        <v>3206.63</v>
      </c>
      <c r="N29" s="5">
        <v>20</v>
      </c>
      <c r="O29" s="5">
        <v>15391.82</v>
      </c>
      <c r="P29">
        <f t="shared" si="0"/>
        <v>19239.78</v>
      </c>
      <c r="Q29">
        <f t="shared" si="1"/>
        <v>3847.956</v>
      </c>
      <c r="R29">
        <f t="shared" si="2"/>
        <v>15391.824</v>
      </c>
      <c r="S29" t="str">
        <f t="shared" si="3"/>
        <v>High</v>
      </c>
      <c r="T29" t="str">
        <f t="shared" si="4"/>
        <v>High</v>
      </c>
      <c r="U29" t="str">
        <f t="shared" si="5"/>
        <v>Heavy Discount</v>
      </c>
      <c r="V29" t="str">
        <f t="shared" si="6"/>
        <v>Excellent Sales</v>
      </c>
      <c r="W29">
        <f t="shared" si="7"/>
        <v>99</v>
      </c>
      <c r="X29">
        <f t="shared" si="8"/>
        <v>106</v>
      </c>
      <c r="Y29">
        <f t="shared" si="9"/>
        <v>55</v>
      </c>
      <c r="Z29" t="str">
        <f t="shared" si="10"/>
        <v>Not Eligible</v>
      </c>
      <c r="AA29" t="str">
        <f t="shared" si="11"/>
        <v>Prriority Order</v>
      </c>
      <c r="AB29" t="str">
        <f t="shared" si="12"/>
        <v>Online</v>
      </c>
    </row>
    <row r="30" spans="1:30">
      <c r="A30" s="5">
        <v>10029</v>
      </c>
      <c r="B30" s="5">
        <v>1191</v>
      </c>
      <c r="C30" s="6">
        <v>45067</v>
      </c>
      <c r="D30" s="6">
        <v>45067</v>
      </c>
      <c r="E30" s="5" t="s">
        <v>112</v>
      </c>
      <c r="F30" s="5" t="s">
        <v>95</v>
      </c>
      <c r="G30" s="5" t="s">
        <v>83</v>
      </c>
      <c r="H30" s="5" t="s">
        <v>84</v>
      </c>
      <c r="I30" s="5" t="s">
        <v>92</v>
      </c>
      <c r="J30" s="5" t="s">
        <v>93</v>
      </c>
      <c r="K30" s="5" t="s">
        <v>99</v>
      </c>
      <c r="L30" s="5">
        <v>3</v>
      </c>
      <c r="M30" s="5">
        <v>759.47</v>
      </c>
      <c r="N30" s="5">
        <v>15</v>
      </c>
      <c r="O30" s="5">
        <v>1936.65</v>
      </c>
      <c r="P30">
        <f t="shared" si="0"/>
        <v>2278.41</v>
      </c>
      <c r="Q30">
        <f t="shared" si="1"/>
        <v>341.7615</v>
      </c>
      <c r="R30">
        <f t="shared" si="2"/>
        <v>1936.6485</v>
      </c>
      <c r="S30" t="str">
        <f t="shared" si="3"/>
        <v>Low</v>
      </c>
      <c r="T30" t="str">
        <f t="shared" si="4"/>
        <v>Low</v>
      </c>
      <c r="U30" t="str">
        <f t="shared" si="5"/>
        <v>Heavy Discount</v>
      </c>
      <c r="V30" t="str">
        <f t="shared" si="6"/>
        <v>Average</v>
      </c>
      <c r="W30">
        <f t="shared" si="7"/>
        <v>99</v>
      </c>
      <c r="X30">
        <f t="shared" si="8"/>
        <v>106</v>
      </c>
      <c r="Y30">
        <f t="shared" si="9"/>
        <v>54</v>
      </c>
      <c r="Z30" t="str">
        <f t="shared" si="10"/>
        <v>Not Eligible</v>
      </c>
      <c r="AA30" t="str">
        <f t="shared" si="11"/>
        <v>Normal Order</v>
      </c>
      <c r="AB30" t="str">
        <f t="shared" si="12"/>
        <v>Online</v>
      </c>
    </row>
    <row r="31" spans="1:30">
      <c r="A31" s="5">
        <v>10030</v>
      </c>
      <c r="B31" s="5">
        <v>1955</v>
      </c>
      <c r="C31" s="6">
        <v>45082</v>
      </c>
      <c r="D31" s="6">
        <v>45082</v>
      </c>
      <c r="E31" s="5" t="s">
        <v>112</v>
      </c>
      <c r="F31" s="5" t="s">
        <v>89</v>
      </c>
      <c r="G31" s="5" t="s">
        <v>96</v>
      </c>
      <c r="H31" s="5" t="s">
        <v>101</v>
      </c>
      <c r="I31" s="5" t="s">
        <v>92</v>
      </c>
      <c r="J31" s="5" t="s">
        <v>136</v>
      </c>
      <c r="K31" s="5" t="s">
        <v>111</v>
      </c>
      <c r="L31" s="5">
        <v>1</v>
      </c>
      <c r="M31" s="5">
        <v>349.38</v>
      </c>
      <c r="N31" s="5">
        <v>10</v>
      </c>
      <c r="O31" s="5">
        <v>314.44</v>
      </c>
      <c r="P31">
        <f t="shared" si="0"/>
        <v>349.38</v>
      </c>
      <c r="Q31">
        <f t="shared" si="1"/>
        <v>34.938</v>
      </c>
      <c r="R31">
        <f t="shared" si="2"/>
        <v>314.442</v>
      </c>
      <c r="S31" t="str">
        <f t="shared" si="3"/>
        <v>Low</v>
      </c>
      <c r="T31" t="str">
        <f t="shared" si="4"/>
        <v>Low</v>
      </c>
      <c r="U31" t="str">
        <f t="shared" si="5"/>
        <v>Heavy Discount</v>
      </c>
      <c r="V31" t="str">
        <f t="shared" si="6"/>
        <v>Average</v>
      </c>
      <c r="W31">
        <f t="shared" si="7"/>
        <v>99</v>
      </c>
      <c r="X31">
        <f t="shared" si="8"/>
        <v>106</v>
      </c>
      <c r="Y31">
        <f t="shared" si="9"/>
        <v>54</v>
      </c>
      <c r="Z31" t="str">
        <f t="shared" si="10"/>
        <v>Not Eligible</v>
      </c>
      <c r="AA31" t="str">
        <f t="shared" si="11"/>
        <v>Normal Order</v>
      </c>
      <c r="AB31" t="str">
        <f t="shared" si="12"/>
        <v/>
      </c>
    </row>
    <row r="32" spans="1:30">
      <c r="A32" s="5">
        <v>10031</v>
      </c>
      <c r="B32" s="5">
        <v>1276</v>
      </c>
      <c r="C32" s="6">
        <v>45166</v>
      </c>
      <c r="D32" s="6">
        <v>45166</v>
      </c>
      <c r="E32" s="5" t="s">
        <v>81</v>
      </c>
      <c r="F32" s="5" t="s">
        <v>95</v>
      </c>
      <c r="G32" s="5" t="s">
        <v>96</v>
      </c>
      <c r="H32" s="5" t="s">
        <v>108</v>
      </c>
      <c r="I32" s="5" t="s">
        <v>132</v>
      </c>
      <c r="J32" s="5" t="s">
        <v>137</v>
      </c>
      <c r="K32" s="5" t="s">
        <v>113</v>
      </c>
      <c r="L32" s="5">
        <v>5</v>
      </c>
      <c r="M32" s="5">
        <v>2295.65</v>
      </c>
      <c r="N32" s="5">
        <v>20</v>
      </c>
      <c r="O32" s="5">
        <v>9182.6</v>
      </c>
      <c r="P32">
        <f t="shared" si="0"/>
        <v>11478.25</v>
      </c>
      <c r="Q32">
        <f t="shared" si="1"/>
        <v>2295.65</v>
      </c>
      <c r="R32">
        <f t="shared" si="2"/>
        <v>9182.6</v>
      </c>
      <c r="S32" t="str">
        <f t="shared" si="3"/>
        <v>High</v>
      </c>
      <c r="T32" t="str">
        <f t="shared" si="4"/>
        <v>Medium</v>
      </c>
      <c r="U32" t="str">
        <f t="shared" si="5"/>
        <v>Heavy Discount</v>
      </c>
      <c r="V32" t="str">
        <f t="shared" si="6"/>
        <v>Excellent Sales</v>
      </c>
      <c r="W32">
        <f t="shared" si="7"/>
        <v>99</v>
      </c>
      <c r="X32">
        <f t="shared" si="8"/>
        <v>106</v>
      </c>
      <c r="Y32">
        <f t="shared" si="9"/>
        <v>54</v>
      </c>
      <c r="Z32" t="str">
        <f t="shared" si="10"/>
        <v>Not Eligible</v>
      </c>
      <c r="AA32" t="str">
        <f t="shared" si="11"/>
        <v>Prriority Order</v>
      </c>
      <c r="AB32" t="str">
        <f t="shared" si="12"/>
        <v/>
      </c>
    </row>
    <row r="33" spans="1:28">
      <c r="A33" s="5">
        <v>10032</v>
      </c>
      <c r="B33" s="5">
        <v>1160</v>
      </c>
      <c r="C33" s="6">
        <v>45158</v>
      </c>
      <c r="D33" s="6">
        <v>45158</v>
      </c>
      <c r="E33" s="5" t="s">
        <v>81</v>
      </c>
      <c r="F33" s="5" t="s">
        <v>107</v>
      </c>
      <c r="G33" s="5" t="s">
        <v>96</v>
      </c>
      <c r="H33" s="5" t="s">
        <v>84</v>
      </c>
      <c r="I33" s="5" t="s">
        <v>85</v>
      </c>
      <c r="J33" s="5" t="s">
        <v>109</v>
      </c>
      <c r="K33" s="5" t="s">
        <v>87</v>
      </c>
      <c r="L33" s="5">
        <v>4</v>
      </c>
      <c r="M33" s="5">
        <v>750.74</v>
      </c>
      <c r="N33" s="5">
        <v>5</v>
      </c>
      <c r="O33" s="5">
        <v>2852.81</v>
      </c>
      <c r="P33">
        <f t="shared" si="0"/>
        <v>3002.96</v>
      </c>
      <c r="Q33">
        <f t="shared" si="1"/>
        <v>150.148</v>
      </c>
      <c r="R33">
        <f t="shared" si="2"/>
        <v>2852.812</v>
      </c>
      <c r="S33" t="str">
        <f t="shared" si="3"/>
        <v>Low</v>
      </c>
      <c r="T33" t="str">
        <f t="shared" si="4"/>
        <v>Low</v>
      </c>
      <c r="U33" t="str">
        <f t="shared" si="5"/>
        <v>Heavy Discount</v>
      </c>
      <c r="V33" t="str">
        <f t="shared" si="6"/>
        <v>Average</v>
      </c>
      <c r="W33">
        <f t="shared" si="7"/>
        <v>99</v>
      </c>
      <c r="X33">
        <f t="shared" si="8"/>
        <v>106</v>
      </c>
      <c r="Y33">
        <f t="shared" si="9"/>
        <v>54</v>
      </c>
      <c r="Z33" t="str">
        <f t="shared" si="10"/>
        <v>Not Eligible</v>
      </c>
      <c r="AA33" t="str">
        <f t="shared" si="11"/>
        <v>Normal Order</v>
      </c>
      <c r="AB33" t="str">
        <f t="shared" si="12"/>
        <v/>
      </c>
    </row>
    <row r="34" spans="1:28">
      <c r="A34" s="5">
        <v>10033</v>
      </c>
      <c r="B34" s="5">
        <v>1459</v>
      </c>
      <c r="C34" s="6">
        <v>45130</v>
      </c>
      <c r="D34" s="6">
        <v>45130</v>
      </c>
      <c r="E34" s="5" t="s">
        <v>88</v>
      </c>
      <c r="F34" s="5" t="s">
        <v>104</v>
      </c>
      <c r="G34" s="5" t="s">
        <v>83</v>
      </c>
      <c r="H34" s="5" t="s">
        <v>110</v>
      </c>
      <c r="I34" s="5" t="s">
        <v>132</v>
      </c>
      <c r="J34" s="5" t="s">
        <v>134</v>
      </c>
      <c r="K34" s="5" t="s">
        <v>111</v>
      </c>
      <c r="L34" s="5">
        <v>7</v>
      </c>
      <c r="M34" s="5">
        <v>3363.18</v>
      </c>
      <c r="N34" s="5">
        <v>20</v>
      </c>
      <c r="O34" s="5">
        <v>18833.81</v>
      </c>
      <c r="P34">
        <f t="shared" si="0"/>
        <v>23542.26</v>
      </c>
      <c r="Q34">
        <f t="shared" si="1"/>
        <v>4708.452</v>
      </c>
      <c r="R34">
        <f t="shared" si="2"/>
        <v>18833.808</v>
      </c>
      <c r="S34" t="str">
        <f t="shared" si="3"/>
        <v>High</v>
      </c>
      <c r="T34" t="str">
        <f t="shared" si="4"/>
        <v>High</v>
      </c>
      <c r="U34" t="str">
        <f t="shared" si="5"/>
        <v>Heavy Discount</v>
      </c>
      <c r="V34" t="str">
        <f t="shared" si="6"/>
        <v>Excellent Sales</v>
      </c>
      <c r="W34">
        <f t="shared" si="7"/>
        <v>99</v>
      </c>
      <c r="X34">
        <f t="shared" si="8"/>
        <v>106</v>
      </c>
      <c r="Y34">
        <f t="shared" si="9"/>
        <v>54</v>
      </c>
      <c r="Z34" t="str">
        <f t="shared" si="10"/>
        <v>Not Eligible</v>
      </c>
      <c r="AA34" t="str">
        <f t="shared" si="11"/>
        <v>Prriority Order</v>
      </c>
      <c r="AB34" t="str">
        <f t="shared" si="12"/>
        <v>Online</v>
      </c>
    </row>
    <row r="35" spans="1:28">
      <c r="A35" s="5">
        <v>10034</v>
      </c>
      <c r="B35" s="5">
        <v>1313</v>
      </c>
      <c r="C35" s="6">
        <v>45191</v>
      </c>
      <c r="D35" s="6">
        <v>45191</v>
      </c>
      <c r="E35" s="5" t="s">
        <v>100</v>
      </c>
      <c r="F35" s="5" t="s">
        <v>89</v>
      </c>
      <c r="G35" s="5" t="s">
        <v>96</v>
      </c>
      <c r="H35" s="5" t="s">
        <v>91</v>
      </c>
      <c r="I35" s="5" t="s">
        <v>97</v>
      </c>
      <c r="J35" s="5" t="s">
        <v>114</v>
      </c>
      <c r="K35" s="5" t="s">
        <v>113</v>
      </c>
      <c r="L35" s="5">
        <v>6</v>
      </c>
      <c r="M35" s="5">
        <v>1529.59</v>
      </c>
      <c r="N35" s="5">
        <v>0</v>
      </c>
      <c r="O35" s="5">
        <v>9177.54</v>
      </c>
      <c r="P35">
        <f t="shared" si="0"/>
        <v>9177.54</v>
      </c>
      <c r="Q35">
        <f t="shared" si="1"/>
        <v>0</v>
      </c>
      <c r="R35">
        <f t="shared" si="2"/>
        <v>9177.54</v>
      </c>
      <c r="S35" t="str">
        <f t="shared" si="3"/>
        <v>High</v>
      </c>
      <c r="T35" t="str">
        <f t="shared" si="4"/>
        <v>High</v>
      </c>
      <c r="U35" t="str">
        <f t="shared" si="5"/>
        <v>Normal Discount</v>
      </c>
      <c r="V35" t="str">
        <f t="shared" si="6"/>
        <v>Excellent Sales</v>
      </c>
      <c r="W35">
        <f t="shared" si="7"/>
        <v>99</v>
      </c>
      <c r="X35">
        <f t="shared" si="8"/>
        <v>106</v>
      </c>
      <c r="Y35">
        <f t="shared" si="9"/>
        <v>54</v>
      </c>
      <c r="Z35" t="str">
        <f t="shared" si="10"/>
        <v>Eligible</v>
      </c>
      <c r="AA35" t="str">
        <f t="shared" si="11"/>
        <v>Prriority Order</v>
      </c>
      <c r="AB35" t="str">
        <f t="shared" si="12"/>
        <v/>
      </c>
    </row>
    <row r="36" spans="1:28">
      <c r="A36" s="5">
        <v>10035</v>
      </c>
      <c r="B36" s="5">
        <v>1021</v>
      </c>
      <c r="C36" s="6">
        <v>45013</v>
      </c>
      <c r="D36" s="6">
        <v>45013</v>
      </c>
      <c r="E36" s="5" t="s">
        <v>106</v>
      </c>
      <c r="F36" s="5" t="s">
        <v>95</v>
      </c>
      <c r="G36" s="5" t="s">
        <v>96</v>
      </c>
      <c r="H36" s="5" t="s">
        <v>110</v>
      </c>
      <c r="I36" s="5" t="s">
        <v>97</v>
      </c>
      <c r="J36" s="5" t="s">
        <v>114</v>
      </c>
      <c r="K36" s="5" t="s">
        <v>113</v>
      </c>
      <c r="L36" s="5">
        <v>7</v>
      </c>
      <c r="M36" s="5">
        <v>3664.64</v>
      </c>
      <c r="N36" s="5">
        <v>5</v>
      </c>
      <c r="O36" s="5">
        <v>24369.86</v>
      </c>
      <c r="P36">
        <f t="shared" si="0"/>
        <v>25652.48</v>
      </c>
      <c r="Q36">
        <f t="shared" si="1"/>
        <v>1282.624</v>
      </c>
      <c r="R36">
        <f t="shared" si="2"/>
        <v>24369.856</v>
      </c>
      <c r="S36" t="str">
        <f t="shared" si="3"/>
        <v>High</v>
      </c>
      <c r="T36" t="str">
        <f t="shared" si="4"/>
        <v>High</v>
      </c>
      <c r="U36" t="str">
        <f t="shared" si="5"/>
        <v>Heavy Discount</v>
      </c>
      <c r="V36" t="str">
        <f t="shared" si="6"/>
        <v>Excellent Sales</v>
      </c>
      <c r="W36">
        <f t="shared" si="7"/>
        <v>99</v>
      </c>
      <c r="X36">
        <f t="shared" si="8"/>
        <v>106</v>
      </c>
      <c r="Y36">
        <f t="shared" si="9"/>
        <v>54</v>
      </c>
      <c r="Z36" t="str">
        <f t="shared" si="10"/>
        <v>Not Eligible</v>
      </c>
      <c r="AA36" t="str">
        <f t="shared" si="11"/>
        <v>Prriority Order</v>
      </c>
      <c r="AB36" t="str">
        <f t="shared" si="12"/>
        <v/>
      </c>
    </row>
    <row r="37" spans="1:28">
      <c r="A37" s="5">
        <v>10036</v>
      </c>
      <c r="B37" s="5">
        <v>1252</v>
      </c>
      <c r="C37" s="6">
        <v>45084</v>
      </c>
      <c r="D37" s="6">
        <v>45084</v>
      </c>
      <c r="E37" s="5" t="s">
        <v>82</v>
      </c>
      <c r="F37" s="5" t="s">
        <v>104</v>
      </c>
      <c r="G37" s="5" t="s">
        <v>83</v>
      </c>
      <c r="H37" s="5" t="s">
        <v>108</v>
      </c>
      <c r="I37" s="5" t="s">
        <v>92</v>
      </c>
      <c r="J37" s="5" t="s">
        <v>93</v>
      </c>
      <c r="K37" s="5" t="s">
        <v>94</v>
      </c>
      <c r="L37" s="5">
        <v>5</v>
      </c>
      <c r="M37" s="5">
        <v>2327.9</v>
      </c>
      <c r="N37" s="5">
        <v>0</v>
      </c>
      <c r="O37" s="5">
        <v>11639.5</v>
      </c>
      <c r="P37">
        <f t="shared" si="0"/>
        <v>11639.5</v>
      </c>
      <c r="Q37">
        <f t="shared" si="1"/>
        <v>0</v>
      </c>
      <c r="R37">
        <f t="shared" si="2"/>
        <v>11639.5</v>
      </c>
      <c r="S37" t="str">
        <f t="shared" si="3"/>
        <v>High</v>
      </c>
      <c r="T37" t="str">
        <f t="shared" si="4"/>
        <v>Medium</v>
      </c>
      <c r="U37" t="str">
        <f t="shared" si="5"/>
        <v>Normal Discount</v>
      </c>
      <c r="V37" t="str">
        <f t="shared" si="6"/>
        <v>Excellent Sales</v>
      </c>
      <c r="W37">
        <f t="shared" si="7"/>
        <v>99</v>
      </c>
      <c r="X37">
        <f t="shared" si="8"/>
        <v>106</v>
      </c>
      <c r="Y37">
        <f t="shared" si="9"/>
        <v>54</v>
      </c>
      <c r="Z37" t="str">
        <f t="shared" si="10"/>
        <v>Eligible</v>
      </c>
      <c r="AA37" t="str">
        <f t="shared" si="11"/>
        <v>Prriority Order</v>
      </c>
      <c r="AB37" t="str">
        <f t="shared" si="12"/>
        <v>Online</v>
      </c>
    </row>
    <row r="38" spans="1:28">
      <c r="A38" s="5">
        <v>10037</v>
      </c>
      <c r="B38" s="5">
        <v>1747</v>
      </c>
      <c r="C38" s="6">
        <v>45165</v>
      </c>
      <c r="D38" s="6">
        <v>45165</v>
      </c>
      <c r="E38" s="5" t="s">
        <v>103</v>
      </c>
      <c r="F38" s="5" t="s">
        <v>82</v>
      </c>
      <c r="G38" s="5" t="s">
        <v>90</v>
      </c>
      <c r="H38" s="5" t="s">
        <v>84</v>
      </c>
      <c r="I38" s="5" t="s">
        <v>85</v>
      </c>
      <c r="J38" s="5" t="s">
        <v>129</v>
      </c>
      <c r="K38" s="5" t="s">
        <v>87</v>
      </c>
      <c r="L38" s="5">
        <v>4</v>
      </c>
      <c r="M38" s="5">
        <v>853.29</v>
      </c>
      <c r="N38" s="5">
        <v>5</v>
      </c>
      <c r="O38" s="5">
        <v>3242.5</v>
      </c>
      <c r="P38">
        <f t="shared" si="0"/>
        <v>3413.16</v>
      </c>
      <c r="Q38">
        <f t="shared" si="1"/>
        <v>170.658</v>
      </c>
      <c r="R38">
        <f t="shared" si="2"/>
        <v>3242.502</v>
      </c>
      <c r="S38" t="str">
        <f t="shared" si="3"/>
        <v>Low</v>
      </c>
      <c r="T38" t="str">
        <f t="shared" si="4"/>
        <v>Low</v>
      </c>
      <c r="U38" t="str">
        <f t="shared" si="5"/>
        <v>Heavy Discount</v>
      </c>
      <c r="V38" t="str">
        <f t="shared" si="6"/>
        <v>Average</v>
      </c>
      <c r="W38">
        <f t="shared" si="7"/>
        <v>99</v>
      </c>
      <c r="X38">
        <f t="shared" si="8"/>
        <v>106</v>
      </c>
      <c r="Y38">
        <f t="shared" si="9"/>
        <v>54</v>
      </c>
      <c r="Z38" t="str">
        <f t="shared" si="10"/>
        <v>Not Eligible</v>
      </c>
      <c r="AA38" t="str">
        <f t="shared" si="11"/>
        <v>Normal Order</v>
      </c>
      <c r="AB38" t="str">
        <f t="shared" si="12"/>
        <v>Online</v>
      </c>
    </row>
    <row r="39" spans="1:28">
      <c r="A39" s="5">
        <v>10038</v>
      </c>
      <c r="B39" s="5">
        <v>1856</v>
      </c>
      <c r="C39" s="6">
        <v>45280</v>
      </c>
      <c r="D39" s="6">
        <v>45280</v>
      </c>
      <c r="E39" s="5" t="s">
        <v>88</v>
      </c>
      <c r="F39" s="5" t="s">
        <v>95</v>
      </c>
      <c r="G39" s="5" t="s">
        <v>90</v>
      </c>
      <c r="H39" s="5" t="s">
        <v>108</v>
      </c>
      <c r="I39" s="5" t="s">
        <v>115</v>
      </c>
      <c r="J39" s="5" t="s">
        <v>138</v>
      </c>
      <c r="K39" s="5" t="s">
        <v>113</v>
      </c>
      <c r="L39" s="5">
        <v>7</v>
      </c>
      <c r="M39" s="5">
        <v>687.46</v>
      </c>
      <c r="N39" s="5">
        <v>20</v>
      </c>
      <c r="O39" s="5">
        <v>3849.78</v>
      </c>
      <c r="P39">
        <f t="shared" si="0"/>
        <v>4812.22</v>
      </c>
      <c r="Q39">
        <f t="shared" si="1"/>
        <v>962.444</v>
      </c>
      <c r="R39">
        <f t="shared" si="2"/>
        <v>3849.776</v>
      </c>
      <c r="S39" t="str">
        <f t="shared" si="3"/>
        <v>High</v>
      </c>
      <c r="T39" t="str">
        <f t="shared" si="4"/>
        <v>High</v>
      </c>
      <c r="U39" t="str">
        <f t="shared" si="5"/>
        <v>Heavy Discount</v>
      </c>
      <c r="V39" t="str">
        <f t="shared" si="6"/>
        <v>Average</v>
      </c>
      <c r="W39">
        <f t="shared" si="7"/>
        <v>99</v>
      </c>
      <c r="X39">
        <f t="shared" si="8"/>
        <v>106</v>
      </c>
      <c r="Y39">
        <f t="shared" si="9"/>
        <v>54</v>
      </c>
      <c r="Z39" t="str">
        <f t="shared" si="10"/>
        <v>Not Eligible</v>
      </c>
      <c r="AA39" t="str">
        <f t="shared" si="11"/>
        <v>Prriority Order</v>
      </c>
      <c r="AB39" t="str">
        <f t="shared" si="12"/>
        <v>Online</v>
      </c>
    </row>
    <row r="40" spans="1:28">
      <c r="A40" s="5">
        <v>10039</v>
      </c>
      <c r="B40" s="5">
        <v>1560</v>
      </c>
      <c r="C40" s="6">
        <v>44953</v>
      </c>
      <c r="D40" s="6">
        <v>44953</v>
      </c>
      <c r="E40" s="5" t="s">
        <v>100</v>
      </c>
      <c r="F40" s="5" t="s">
        <v>107</v>
      </c>
      <c r="G40" s="5" t="s">
        <v>83</v>
      </c>
      <c r="H40" s="5" t="s">
        <v>84</v>
      </c>
      <c r="I40" s="5" t="s">
        <v>97</v>
      </c>
      <c r="J40" s="5" t="s">
        <v>114</v>
      </c>
      <c r="K40" s="5" t="s">
        <v>111</v>
      </c>
      <c r="L40" s="5">
        <v>7</v>
      </c>
      <c r="M40" s="5">
        <v>2369.42</v>
      </c>
      <c r="N40" s="5">
        <v>15</v>
      </c>
      <c r="O40" s="5">
        <v>14098.05</v>
      </c>
      <c r="P40">
        <f t="shared" si="0"/>
        <v>16585.94</v>
      </c>
      <c r="Q40">
        <f t="shared" si="1"/>
        <v>2487.891</v>
      </c>
      <c r="R40">
        <f t="shared" si="2"/>
        <v>14098.049</v>
      </c>
      <c r="S40" t="str">
        <f t="shared" si="3"/>
        <v>High</v>
      </c>
      <c r="T40" t="str">
        <f t="shared" si="4"/>
        <v>High</v>
      </c>
      <c r="U40" t="str">
        <f t="shared" si="5"/>
        <v>Heavy Discount</v>
      </c>
      <c r="V40" t="str">
        <f t="shared" si="6"/>
        <v>Excellent Sales</v>
      </c>
      <c r="W40">
        <f t="shared" si="7"/>
        <v>99</v>
      </c>
      <c r="X40">
        <f t="shared" si="8"/>
        <v>106</v>
      </c>
      <c r="Y40">
        <f t="shared" si="9"/>
        <v>53</v>
      </c>
      <c r="Z40" t="str">
        <f t="shared" si="10"/>
        <v>Not Eligible</v>
      </c>
      <c r="AA40" t="str">
        <f t="shared" si="11"/>
        <v>Prriority Order</v>
      </c>
      <c r="AB40" t="str">
        <f t="shared" si="12"/>
        <v>Online</v>
      </c>
    </row>
    <row r="41" spans="1:28">
      <c r="A41" s="5">
        <v>10040</v>
      </c>
      <c r="B41" s="5">
        <v>1474</v>
      </c>
      <c r="C41" s="6">
        <v>45277</v>
      </c>
      <c r="D41" s="6">
        <v>45277</v>
      </c>
      <c r="E41" s="5" t="s">
        <v>81</v>
      </c>
      <c r="F41" s="5" t="s">
        <v>82</v>
      </c>
      <c r="G41" s="5" t="s">
        <v>96</v>
      </c>
      <c r="H41" s="5" t="s">
        <v>101</v>
      </c>
      <c r="I41" s="5" t="s">
        <v>92</v>
      </c>
      <c r="J41" s="5" t="s">
        <v>93</v>
      </c>
      <c r="K41" s="5" t="s">
        <v>94</v>
      </c>
      <c r="L41" s="5">
        <v>6</v>
      </c>
      <c r="M41" s="5">
        <v>3083.25</v>
      </c>
      <c r="N41" s="5">
        <v>10</v>
      </c>
      <c r="O41" s="5">
        <v>16649.55</v>
      </c>
      <c r="P41">
        <f t="shared" si="0"/>
        <v>18499.5</v>
      </c>
      <c r="Q41">
        <f t="shared" si="1"/>
        <v>1849.95</v>
      </c>
      <c r="R41">
        <f t="shared" si="2"/>
        <v>16649.55</v>
      </c>
      <c r="S41" t="str">
        <f t="shared" si="3"/>
        <v>High</v>
      </c>
      <c r="T41" t="str">
        <f t="shared" si="4"/>
        <v>High</v>
      </c>
      <c r="U41" t="str">
        <f t="shared" si="5"/>
        <v>Heavy Discount</v>
      </c>
      <c r="V41" t="str">
        <f t="shared" si="6"/>
        <v>Excellent Sales</v>
      </c>
      <c r="W41">
        <f t="shared" si="7"/>
        <v>99</v>
      </c>
      <c r="X41">
        <f t="shared" si="8"/>
        <v>106</v>
      </c>
      <c r="Y41">
        <f t="shared" si="9"/>
        <v>53</v>
      </c>
      <c r="Z41" t="str">
        <f t="shared" si="10"/>
        <v>Not Eligible</v>
      </c>
      <c r="AA41" t="str">
        <f t="shared" si="11"/>
        <v>Prriority Order</v>
      </c>
      <c r="AB41" t="str">
        <f t="shared" si="12"/>
        <v/>
      </c>
    </row>
    <row r="42" spans="1:28">
      <c r="A42" s="5">
        <v>10041</v>
      </c>
      <c r="B42" s="5">
        <v>1058</v>
      </c>
      <c r="C42" s="6">
        <v>45220</v>
      </c>
      <c r="D42" s="6">
        <v>45220</v>
      </c>
      <c r="E42" s="5" t="s">
        <v>103</v>
      </c>
      <c r="F42" s="5" t="s">
        <v>82</v>
      </c>
      <c r="G42" s="5" t="s">
        <v>83</v>
      </c>
      <c r="H42" s="5" t="s">
        <v>91</v>
      </c>
      <c r="I42" s="5" t="s">
        <v>123</v>
      </c>
      <c r="J42" s="5" t="s">
        <v>139</v>
      </c>
      <c r="K42" s="5" t="s">
        <v>87</v>
      </c>
      <c r="L42" s="5">
        <v>8</v>
      </c>
      <c r="M42" s="5">
        <v>3158.8</v>
      </c>
      <c r="N42" s="5">
        <v>0</v>
      </c>
      <c r="O42" s="5">
        <v>25270.4</v>
      </c>
      <c r="P42">
        <f t="shared" si="0"/>
        <v>25270.4</v>
      </c>
      <c r="Q42">
        <f t="shared" si="1"/>
        <v>0</v>
      </c>
      <c r="R42">
        <f t="shared" si="2"/>
        <v>25270.4</v>
      </c>
      <c r="S42" t="str">
        <f t="shared" si="3"/>
        <v>High</v>
      </c>
      <c r="T42" t="str">
        <f t="shared" si="4"/>
        <v>High</v>
      </c>
      <c r="U42" t="str">
        <f t="shared" si="5"/>
        <v>Normal Discount</v>
      </c>
      <c r="V42" t="str">
        <f t="shared" si="6"/>
        <v>Excellent Sales</v>
      </c>
      <c r="W42">
        <f t="shared" si="7"/>
        <v>99</v>
      </c>
      <c r="X42">
        <f t="shared" si="8"/>
        <v>106</v>
      </c>
      <c r="Y42">
        <f t="shared" si="9"/>
        <v>53</v>
      </c>
      <c r="Z42" t="str">
        <f t="shared" si="10"/>
        <v>Eligible</v>
      </c>
      <c r="AA42" t="str">
        <f t="shared" si="11"/>
        <v>Prriority Order</v>
      </c>
      <c r="AB42" t="str">
        <f t="shared" si="12"/>
        <v>Online</v>
      </c>
    </row>
    <row r="43" spans="1:28">
      <c r="A43" s="5">
        <v>10042</v>
      </c>
      <c r="B43" s="5">
        <v>1510</v>
      </c>
      <c r="C43" s="6">
        <v>45204</v>
      </c>
      <c r="D43" s="6">
        <v>45204</v>
      </c>
      <c r="E43" s="5" t="s">
        <v>81</v>
      </c>
      <c r="F43" s="5" t="s">
        <v>127</v>
      </c>
      <c r="G43" s="5" t="s">
        <v>90</v>
      </c>
      <c r="H43" s="5" t="s">
        <v>101</v>
      </c>
      <c r="I43" s="5" t="s">
        <v>92</v>
      </c>
      <c r="J43" s="5" t="s">
        <v>93</v>
      </c>
      <c r="K43" s="5" t="s">
        <v>99</v>
      </c>
      <c r="L43" s="5">
        <v>4</v>
      </c>
      <c r="M43" s="5">
        <v>1211.67</v>
      </c>
      <c r="N43" s="5">
        <v>20</v>
      </c>
      <c r="O43" s="5">
        <v>3877.34</v>
      </c>
      <c r="P43">
        <f t="shared" si="0"/>
        <v>4846.68</v>
      </c>
      <c r="Q43">
        <f t="shared" si="1"/>
        <v>969.336</v>
      </c>
      <c r="R43">
        <f t="shared" si="2"/>
        <v>3877.344</v>
      </c>
      <c r="S43" t="str">
        <f t="shared" si="3"/>
        <v>Low</v>
      </c>
      <c r="T43" t="str">
        <f t="shared" si="4"/>
        <v>Low</v>
      </c>
      <c r="U43" t="str">
        <f t="shared" si="5"/>
        <v>Heavy Discount</v>
      </c>
      <c r="V43" t="str">
        <f t="shared" si="6"/>
        <v>Average</v>
      </c>
      <c r="W43">
        <f t="shared" si="7"/>
        <v>99</v>
      </c>
      <c r="X43">
        <f t="shared" si="8"/>
        <v>106</v>
      </c>
      <c r="Y43">
        <f t="shared" si="9"/>
        <v>53</v>
      </c>
      <c r="Z43" t="str">
        <f t="shared" si="10"/>
        <v>Not Eligible</v>
      </c>
      <c r="AA43" t="str">
        <f t="shared" si="11"/>
        <v>Normal Order</v>
      </c>
      <c r="AB43" t="str">
        <f t="shared" si="12"/>
        <v>Online</v>
      </c>
    </row>
    <row r="44" spans="1:28">
      <c r="A44" s="5">
        <v>10043</v>
      </c>
      <c r="B44" s="5">
        <v>1681</v>
      </c>
      <c r="C44" s="6">
        <v>45188</v>
      </c>
      <c r="D44" s="6">
        <v>45188</v>
      </c>
      <c r="E44" s="5" t="s">
        <v>103</v>
      </c>
      <c r="F44" s="5" t="s">
        <v>89</v>
      </c>
      <c r="G44" s="5" t="s">
        <v>90</v>
      </c>
      <c r="H44" s="5" t="s">
        <v>101</v>
      </c>
      <c r="I44" s="5" t="s">
        <v>97</v>
      </c>
      <c r="J44" s="5" t="s">
        <v>114</v>
      </c>
      <c r="K44" s="5" t="s">
        <v>111</v>
      </c>
      <c r="L44" s="5">
        <v>5</v>
      </c>
      <c r="M44" s="5">
        <v>936.35</v>
      </c>
      <c r="N44" s="5">
        <v>15</v>
      </c>
      <c r="O44" s="5">
        <v>3979.49</v>
      </c>
      <c r="P44">
        <f t="shared" si="0"/>
        <v>4681.75</v>
      </c>
      <c r="Q44">
        <f t="shared" si="1"/>
        <v>702.2625</v>
      </c>
      <c r="R44">
        <f t="shared" si="2"/>
        <v>3979.4875</v>
      </c>
      <c r="S44" t="str">
        <f t="shared" si="3"/>
        <v>High</v>
      </c>
      <c r="T44" t="str">
        <f t="shared" si="4"/>
        <v>Medium</v>
      </c>
      <c r="U44" t="str">
        <f t="shared" si="5"/>
        <v>Heavy Discount</v>
      </c>
      <c r="V44" t="str">
        <f t="shared" si="6"/>
        <v>Average</v>
      </c>
      <c r="W44">
        <f t="shared" si="7"/>
        <v>99</v>
      </c>
      <c r="X44">
        <f t="shared" si="8"/>
        <v>106</v>
      </c>
      <c r="Y44">
        <f t="shared" si="9"/>
        <v>53</v>
      </c>
      <c r="Z44" t="str">
        <f t="shared" si="10"/>
        <v>Not Eligible</v>
      </c>
      <c r="AA44" t="str">
        <f t="shared" si="11"/>
        <v>Normal Order</v>
      </c>
      <c r="AB44" t="str">
        <f t="shared" si="12"/>
        <v>Online</v>
      </c>
    </row>
    <row r="45" spans="1:28">
      <c r="A45" s="5">
        <v>10044</v>
      </c>
      <c r="B45" s="5">
        <v>1475</v>
      </c>
      <c r="C45" s="6">
        <v>44959</v>
      </c>
      <c r="D45" s="6">
        <v>44959</v>
      </c>
      <c r="E45" s="5" t="s">
        <v>82</v>
      </c>
      <c r="F45" s="5" t="s">
        <v>95</v>
      </c>
      <c r="G45" s="5" t="s">
        <v>83</v>
      </c>
      <c r="H45" s="5" t="s">
        <v>108</v>
      </c>
      <c r="I45" s="5" t="s">
        <v>97</v>
      </c>
      <c r="J45" s="5" t="s">
        <v>114</v>
      </c>
      <c r="K45" s="5" t="s">
        <v>113</v>
      </c>
      <c r="L45" s="5">
        <v>4</v>
      </c>
      <c r="M45" s="5">
        <v>214.51</v>
      </c>
      <c r="N45" s="5">
        <v>20</v>
      </c>
      <c r="O45" s="5">
        <v>686.43</v>
      </c>
      <c r="P45">
        <f t="shared" si="0"/>
        <v>858.04</v>
      </c>
      <c r="Q45">
        <f t="shared" si="1"/>
        <v>171.608</v>
      </c>
      <c r="R45">
        <f t="shared" si="2"/>
        <v>686.432</v>
      </c>
      <c r="S45" t="str">
        <f t="shared" si="3"/>
        <v>Low</v>
      </c>
      <c r="T45" t="str">
        <f t="shared" si="4"/>
        <v>Low</v>
      </c>
      <c r="U45" t="str">
        <f t="shared" si="5"/>
        <v>Heavy Discount</v>
      </c>
      <c r="V45" t="str">
        <f t="shared" si="6"/>
        <v>Average</v>
      </c>
      <c r="W45">
        <f t="shared" si="7"/>
        <v>99</v>
      </c>
      <c r="X45">
        <f t="shared" si="8"/>
        <v>106</v>
      </c>
      <c r="Y45">
        <f t="shared" si="9"/>
        <v>53</v>
      </c>
      <c r="Z45" t="str">
        <f t="shared" si="10"/>
        <v>Not Eligible</v>
      </c>
      <c r="AA45" t="str">
        <f t="shared" si="11"/>
        <v>Normal Order</v>
      </c>
      <c r="AB45" t="str">
        <f t="shared" si="12"/>
        <v>Online</v>
      </c>
    </row>
    <row r="46" spans="1:28">
      <c r="A46" s="5">
        <v>10045</v>
      </c>
      <c r="B46" s="5">
        <v>1699</v>
      </c>
      <c r="C46" s="6">
        <v>45147</v>
      </c>
      <c r="D46" s="6">
        <v>45147</v>
      </c>
      <c r="E46" s="5" t="s">
        <v>100</v>
      </c>
      <c r="F46" s="5" t="s">
        <v>82</v>
      </c>
      <c r="G46" s="5" t="s">
        <v>83</v>
      </c>
      <c r="H46" s="5" t="s">
        <v>91</v>
      </c>
      <c r="I46" s="5" t="s">
        <v>92</v>
      </c>
      <c r="J46" s="5" t="s">
        <v>136</v>
      </c>
      <c r="K46" s="5" t="s">
        <v>113</v>
      </c>
      <c r="L46" s="5">
        <v>1</v>
      </c>
      <c r="M46" s="5">
        <v>2764.92</v>
      </c>
      <c r="N46" s="5">
        <v>0</v>
      </c>
      <c r="O46" s="5">
        <v>2764.92</v>
      </c>
      <c r="P46">
        <f t="shared" si="0"/>
        <v>2764.92</v>
      </c>
      <c r="Q46">
        <f t="shared" si="1"/>
        <v>0</v>
      </c>
      <c r="R46">
        <f t="shared" si="2"/>
        <v>2764.92</v>
      </c>
      <c r="S46" t="str">
        <f t="shared" si="3"/>
        <v>Low</v>
      </c>
      <c r="T46" t="str">
        <f t="shared" si="4"/>
        <v>Low</v>
      </c>
      <c r="U46" t="str">
        <f t="shared" si="5"/>
        <v>Normal Discount</v>
      </c>
      <c r="V46" t="str">
        <f t="shared" si="6"/>
        <v>Average</v>
      </c>
      <c r="W46">
        <f t="shared" si="7"/>
        <v>99</v>
      </c>
      <c r="X46">
        <f t="shared" si="8"/>
        <v>106</v>
      </c>
      <c r="Y46">
        <f t="shared" si="9"/>
        <v>53</v>
      </c>
      <c r="Z46" t="str">
        <f t="shared" si="10"/>
        <v>Eligible</v>
      </c>
      <c r="AA46" t="str">
        <f t="shared" si="11"/>
        <v>Normal Order</v>
      </c>
      <c r="AB46" t="str">
        <f t="shared" si="12"/>
        <v>Online</v>
      </c>
    </row>
    <row r="47" spans="1:28">
      <c r="A47" s="5">
        <v>10046</v>
      </c>
      <c r="B47" s="5">
        <v>1975</v>
      </c>
      <c r="C47" s="6">
        <v>45211</v>
      </c>
      <c r="D47" s="6">
        <v>45211</v>
      </c>
      <c r="E47" s="5" t="s">
        <v>103</v>
      </c>
      <c r="F47" s="5" t="s">
        <v>127</v>
      </c>
      <c r="G47" s="5" t="s">
        <v>90</v>
      </c>
      <c r="H47" s="5" t="s">
        <v>84</v>
      </c>
      <c r="I47" s="5" t="s">
        <v>115</v>
      </c>
      <c r="J47" s="5" t="s">
        <v>119</v>
      </c>
      <c r="K47" s="5" t="s">
        <v>111</v>
      </c>
      <c r="L47" s="5">
        <v>8</v>
      </c>
      <c r="M47" s="5">
        <v>444.79</v>
      </c>
      <c r="N47" s="5">
        <v>10</v>
      </c>
      <c r="O47" s="5">
        <v>3202.49</v>
      </c>
      <c r="P47">
        <f t="shared" si="0"/>
        <v>3558.32</v>
      </c>
      <c r="Q47">
        <f t="shared" si="1"/>
        <v>355.832</v>
      </c>
      <c r="R47">
        <f t="shared" si="2"/>
        <v>3202.488</v>
      </c>
      <c r="S47" t="str">
        <f t="shared" si="3"/>
        <v>High</v>
      </c>
      <c r="T47" t="str">
        <f t="shared" si="4"/>
        <v>High</v>
      </c>
      <c r="U47" t="str">
        <f t="shared" si="5"/>
        <v>Heavy Discount</v>
      </c>
      <c r="V47" t="str">
        <f t="shared" si="6"/>
        <v>Average</v>
      </c>
      <c r="W47">
        <f t="shared" si="7"/>
        <v>99</v>
      </c>
      <c r="X47">
        <f t="shared" si="8"/>
        <v>106</v>
      </c>
      <c r="Y47">
        <f t="shared" si="9"/>
        <v>53</v>
      </c>
      <c r="Z47" t="str">
        <f t="shared" si="10"/>
        <v>Not Eligible</v>
      </c>
      <c r="AA47" t="str">
        <f t="shared" si="11"/>
        <v>Prriority Order</v>
      </c>
      <c r="AB47" t="str">
        <f t="shared" si="12"/>
        <v>Online</v>
      </c>
    </row>
    <row r="48" spans="1:28">
      <c r="A48" s="5">
        <v>10047</v>
      </c>
      <c r="B48" s="5">
        <v>1782</v>
      </c>
      <c r="C48" s="6">
        <v>44985</v>
      </c>
      <c r="D48" s="6">
        <v>44985</v>
      </c>
      <c r="E48" s="5" t="s">
        <v>106</v>
      </c>
      <c r="F48" s="5" t="s">
        <v>107</v>
      </c>
      <c r="G48" s="5" t="s">
        <v>83</v>
      </c>
      <c r="H48" s="5" t="s">
        <v>84</v>
      </c>
      <c r="I48" s="5" t="s">
        <v>132</v>
      </c>
      <c r="J48" s="5" t="s">
        <v>137</v>
      </c>
      <c r="K48" s="5" t="s">
        <v>113</v>
      </c>
      <c r="L48" s="5">
        <v>1</v>
      </c>
      <c r="M48" s="5">
        <v>1769.93</v>
      </c>
      <c r="N48" s="5">
        <v>20</v>
      </c>
      <c r="O48" s="5">
        <v>1415.94</v>
      </c>
      <c r="P48">
        <f t="shared" si="0"/>
        <v>1769.93</v>
      </c>
      <c r="Q48">
        <f t="shared" si="1"/>
        <v>353.986</v>
      </c>
      <c r="R48">
        <f t="shared" si="2"/>
        <v>1415.944</v>
      </c>
      <c r="S48" t="str">
        <f t="shared" si="3"/>
        <v>Low</v>
      </c>
      <c r="T48" t="str">
        <f t="shared" si="4"/>
        <v>Low</v>
      </c>
      <c r="U48" t="str">
        <f t="shared" si="5"/>
        <v>Heavy Discount</v>
      </c>
      <c r="V48" t="str">
        <f t="shared" si="6"/>
        <v>Average</v>
      </c>
      <c r="W48">
        <f t="shared" si="7"/>
        <v>99</v>
      </c>
      <c r="X48">
        <f t="shared" si="8"/>
        <v>106</v>
      </c>
      <c r="Y48">
        <f t="shared" si="9"/>
        <v>52</v>
      </c>
      <c r="Z48" t="str">
        <f t="shared" si="10"/>
        <v>Not Eligible</v>
      </c>
      <c r="AA48" t="str">
        <f t="shared" si="11"/>
        <v>Normal Order</v>
      </c>
      <c r="AB48" t="str">
        <f t="shared" si="12"/>
        <v>Online</v>
      </c>
    </row>
    <row r="49" spans="1:28">
      <c r="A49" s="5">
        <v>10048</v>
      </c>
      <c r="B49" s="5">
        <v>1189</v>
      </c>
      <c r="C49" s="6">
        <v>45027</v>
      </c>
      <c r="D49" s="6">
        <v>45027</v>
      </c>
      <c r="E49" s="5" t="s">
        <v>88</v>
      </c>
      <c r="F49" s="5" t="s">
        <v>104</v>
      </c>
      <c r="G49" s="5" t="s">
        <v>90</v>
      </c>
      <c r="H49" s="5" t="s">
        <v>110</v>
      </c>
      <c r="I49" s="5" t="s">
        <v>97</v>
      </c>
      <c r="J49" s="5" t="s">
        <v>140</v>
      </c>
      <c r="K49" s="5" t="s">
        <v>94</v>
      </c>
      <c r="L49" s="5">
        <v>5</v>
      </c>
      <c r="M49" s="5">
        <v>2466.48</v>
      </c>
      <c r="N49" s="5">
        <v>5</v>
      </c>
      <c r="O49" s="5">
        <v>11715.78</v>
      </c>
      <c r="P49">
        <f t="shared" si="0"/>
        <v>12332.4</v>
      </c>
      <c r="Q49">
        <f t="shared" si="1"/>
        <v>616.62</v>
      </c>
      <c r="R49">
        <f t="shared" si="2"/>
        <v>11715.78</v>
      </c>
      <c r="S49" t="str">
        <f t="shared" si="3"/>
        <v>High</v>
      </c>
      <c r="T49" t="str">
        <f t="shared" si="4"/>
        <v>Medium</v>
      </c>
      <c r="U49" t="str">
        <f t="shared" si="5"/>
        <v>Heavy Discount</v>
      </c>
      <c r="V49" t="str">
        <f t="shared" si="6"/>
        <v>Excellent Sales</v>
      </c>
      <c r="W49">
        <f t="shared" si="7"/>
        <v>99</v>
      </c>
      <c r="X49">
        <f t="shared" si="8"/>
        <v>106</v>
      </c>
      <c r="Y49">
        <f t="shared" si="9"/>
        <v>52</v>
      </c>
      <c r="Z49" t="str">
        <f t="shared" si="10"/>
        <v>Not Eligible</v>
      </c>
      <c r="AA49" t="str">
        <f t="shared" si="11"/>
        <v>Prriority Order</v>
      </c>
      <c r="AB49" t="str">
        <f t="shared" si="12"/>
        <v>Online</v>
      </c>
    </row>
    <row r="50" spans="1:28">
      <c r="A50" s="5">
        <v>10049</v>
      </c>
      <c r="B50" s="5">
        <v>1957</v>
      </c>
      <c r="C50" s="6">
        <v>45023</v>
      </c>
      <c r="D50" s="6">
        <v>45023</v>
      </c>
      <c r="E50" s="5" t="s">
        <v>112</v>
      </c>
      <c r="F50" s="5" t="s">
        <v>95</v>
      </c>
      <c r="G50" s="5" t="s">
        <v>83</v>
      </c>
      <c r="H50" s="5" t="s">
        <v>84</v>
      </c>
      <c r="I50" s="5" t="s">
        <v>92</v>
      </c>
      <c r="J50" s="5" t="s">
        <v>93</v>
      </c>
      <c r="K50" s="5" t="s">
        <v>87</v>
      </c>
      <c r="L50" s="5">
        <v>6</v>
      </c>
      <c r="M50" s="5">
        <v>3757.87</v>
      </c>
      <c r="N50" s="5">
        <v>15</v>
      </c>
      <c r="O50" s="5">
        <v>19165.14</v>
      </c>
      <c r="P50">
        <f t="shared" si="0"/>
        <v>22547.22</v>
      </c>
      <c r="Q50">
        <f t="shared" si="1"/>
        <v>3382.083</v>
      </c>
      <c r="R50">
        <f t="shared" si="2"/>
        <v>19165.137</v>
      </c>
      <c r="S50" t="str">
        <f t="shared" si="3"/>
        <v>High</v>
      </c>
      <c r="T50" t="str">
        <f t="shared" si="4"/>
        <v>High</v>
      </c>
      <c r="U50" t="str">
        <f t="shared" si="5"/>
        <v>Heavy Discount</v>
      </c>
      <c r="V50" t="str">
        <f t="shared" si="6"/>
        <v>Excellent Sales</v>
      </c>
      <c r="W50">
        <f t="shared" si="7"/>
        <v>99</v>
      </c>
      <c r="X50">
        <f t="shared" si="8"/>
        <v>106</v>
      </c>
      <c r="Y50">
        <f t="shared" si="9"/>
        <v>52</v>
      </c>
      <c r="Z50" t="str">
        <f t="shared" si="10"/>
        <v>Not Eligible</v>
      </c>
      <c r="AA50" t="str">
        <f t="shared" si="11"/>
        <v>Prriority Order</v>
      </c>
      <c r="AB50" t="str">
        <f t="shared" si="12"/>
        <v>Online</v>
      </c>
    </row>
    <row r="51" spans="1:28">
      <c r="A51" s="5">
        <v>10050</v>
      </c>
      <c r="B51" s="5">
        <v>1686</v>
      </c>
      <c r="C51" s="6">
        <v>44978</v>
      </c>
      <c r="D51" s="6">
        <v>44978</v>
      </c>
      <c r="E51" s="5" t="s">
        <v>106</v>
      </c>
      <c r="F51" s="5" t="s">
        <v>82</v>
      </c>
      <c r="G51" s="5" t="s">
        <v>83</v>
      </c>
      <c r="H51" s="5" t="s">
        <v>108</v>
      </c>
      <c r="I51" s="5" t="s">
        <v>92</v>
      </c>
      <c r="J51" s="5" t="s">
        <v>136</v>
      </c>
      <c r="K51" s="5" t="s">
        <v>94</v>
      </c>
      <c r="L51" s="5">
        <v>6</v>
      </c>
      <c r="M51" s="5">
        <v>1350.44</v>
      </c>
      <c r="N51" s="5">
        <v>20</v>
      </c>
      <c r="O51" s="5">
        <v>6482.11</v>
      </c>
      <c r="P51">
        <f t="shared" si="0"/>
        <v>8102.64</v>
      </c>
      <c r="Q51">
        <f t="shared" si="1"/>
        <v>1620.528</v>
      </c>
      <c r="R51">
        <f t="shared" si="2"/>
        <v>6482.112</v>
      </c>
      <c r="S51" t="str">
        <f t="shared" si="3"/>
        <v>High</v>
      </c>
      <c r="T51" t="str">
        <f t="shared" si="4"/>
        <v>High</v>
      </c>
      <c r="U51" t="str">
        <f t="shared" si="5"/>
        <v>Heavy Discount</v>
      </c>
      <c r="V51" t="str">
        <f t="shared" si="6"/>
        <v>Good</v>
      </c>
      <c r="W51">
        <f t="shared" si="7"/>
        <v>99</v>
      </c>
      <c r="X51">
        <f t="shared" si="8"/>
        <v>106</v>
      </c>
      <c r="Y51">
        <f t="shared" si="9"/>
        <v>52</v>
      </c>
      <c r="Z51" t="str">
        <f t="shared" si="10"/>
        <v>Not Eligible</v>
      </c>
      <c r="AA51" t="str">
        <f t="shared" si="11"/>
        <v>Prriority Order</v>
      </c>
      <c r="AB51" t="str">
        <f t="shared" si="12"/>
        <v>Online</v>
      </c>
    </row>
    <row r="52" spans="1:28">
      <c r="A52" s="5">
        <v>10051</v>
      </c>
      <c r="B52" s="5">
        <v>1957</v>
      </c>
      <c r="C52" s="6">
        <v>45211</v>
      </c>
      <c r="D52" s="6">
        <v>45211</v>
      </c>
      <c r="E52" s="5" t="s">
        <v>106</v>
      </c>
      <c r="F52" s="5" t="s">
        <v>89</v>
      </c>
      <c r="G52" s="5" t="s">
        <v>83</v>
      </c>
      <c r="H52" s="5" t="s">
        <v>101</v>
      </c>
      <c r="I52" s="5" t="s">
        <v>85</v>
      </c>
      <c r="J52" s="5" t="s">
        <v>141</v>
      </c>
      <c r="K52" s="5" t="s">
        <v>113</v>
      </c>
      <c r="L52" s="5">
        <v>5</v>
      </c>
      <c r="M52" s="5">
        <v>1111.62</v>
      </c>
      <c r="N52" s="5">
        <v>15</v>
      </c>
      <c r="O52" s="5">
        <v>4724.39</v>
      </c>
      <c r="P52">
        <f t="shared" si="0"/>
        <v>5558.1</v>
      </c>
      <c r="Q52">
        <f t="shared" si="1"/>
        <v>833.715</v>
      </c>
      <c r="R52">
        <f t="shared" si="2"/>
        <v>4724.385</v>
      </c>
      <c r="S52" t="str">
        <f t="shared" si="3"/>
        <v>High</v>
      </c>
      <c r="T52" t="str">
        <f t="shared" si="4"/>
        <v>Medium</v>
      </c>
      <c r="U52" t="str">
        <f t="shared" si="5"/>
        <v>Heavy Discount</v>
      </c>
      <c r="V52" t="str">
        <f t="shared" si="6"/>
        <v>Good</v>
      </c>
      <c r="W52">
        <f t="shared" si="7"/>
        <v>99</v>
      </c>
      <c r="X52">
        <f t="shared" si="8"/>
        <v>106</v>
      </c>
      <c r="Y52">
        <f t="shared" si="9"/>
        <v>52</v>
      </c>
      <c r="Z52" t="str">
        <f t="shared" si="10"/>
        <v>Not Eligible</v>
      </c>
      <c r="AA52" t="str">
        <f t="shared" si="11"/>
        <v>Normal Order</v>
      </c>
      <c r="AB52" t="str">
        <f t="shared" si="12"/>
        <v>Online</v>
      </c>
    </row>
    <row r="53" spans="1:28">
      <c r="A53" s="5">
        <v>10052</v>
      </c>
      <c r="B53" s="5">
        <v>1562</v>
      </c>
      <c r="C53" s="6">
        <v>45098</v>
      </c>
      <c r="D53" s="6">
        <v>45098</v>
      </c>
      <c r="E53" s="5" t="s">
        <v>88</v>
      </c>
      <c r="F53" s="5" t="s">
        <v>127</v>
      </c>
      <c r="G53" s="5" t="s">
        <v>90</v>
      </c>
      <c r="H53" s="5" t="s">
        <v>101</v>
      </c>
      <c r="I53" s="5" t="s">
        <v>132</v>
      </c>
      <c r="J53" s="5" t="s">
        <v>137</v>
      </c>
      <c r="K53" s="5" t="s">
        <v>99</v>
      </c>
      <c r="L53" s="5">
        <v>3</v>
      </c>
      <c r="M53" s="5">
        <v>2668.52</v>
      </c>
      <c r="N53" s="5">
        <v>5</v>
      </c>
      <c r="O53" s="5">
        <v>7605.28</v>
      </c>
      <c r="P53">
        <f t="shared" si="0"/>
        <v>8005.56</v>
      </c>
      <c r="Q53">
        <f t="shared" si="1"/>
        <v>400.278</v>
      </c>
      <c r="R53">
        <f t="shared" si="2"/>
        <v>7605.282</v>
      </c>
      <c r="S53" t="str">
        <f t="shared" si="3"/>
        <v>Low</v>
      </c>
      <c r="T53" t="str">
        <f t="shared" si="4"/>
        <v>Low</v>
      </c>
      <c r="U53" t="str">
        <f t="shared" si="5"/>
        <v>Heavy Discount</v>
      </c>
      <c r="V53" t="str">
        <f t="shared" si="6"/>
        <v>Excellent Sales</v>
      </c>
      <c r="W53">
        <f t="shared" si="7"/>
        <v>99</v>
      </c>
      <c r="X53">
        <f t="shared" si="8"/>
        <v>106</v>
      </c>
      <c r="Y53">
        <f t="shared" si="9"/>
        <v>52</v>
      </c>
      <c r="Z53" t="str">
        <f t="shared" si="10"/>
        <v>Not Eligible</v>
      </c>
      <c r="AA53" t="str">
        <f t="shared" si="11"/>
        <v>Prriority Order</v>
      </c>
      <c r="AB53" t="str">
        <f t="shared" si="12"/>
        <v>Online</v>
      </c>
    </row>
    <row r="54" spans="1:28">
      <c r="A54" s="5">
        <v>10053</v>
      </c>
      <c r="B54" s="5">
        <v>1875</v>
      </c>
      <c r="C54" s="6">
        <v>45118</v>
      </c>
      <c r="D54" s="6">
        <v>45118</v>
      </c>
      <c r="E54" s="5" t="s">
        <v>112</v>
      </c>
      <c r="F54" s="5" t="s">
        <v>82</v>
      </c>
      <c r="G54" s="5" t="s">
        <v>83</v>
      </c>
      <c r="H54" s="5" t="s">
        <v>101</v>
      </c>
      <c r="I54" s="5" t="s">
        <v>123</v>
      </c>
      <c r="J54" s="5" t="s">
        <v>139</v>
      </c>
      <c r="K54" s="5" t="s">
        <v>87</v>
      </c>
      <c r="L54" s="5">
        <v>5</v>
      </c>
      <c r="M54" s="5">
        <v>2534.07</v>
      </c>
      <c r="N54" s="5">
        <v>10</v>
      </c>
      <c r="O54" s="5">
        <v>11403.31</v>
      </c>
      <c r="P54">
        <f t="shared" si="0"/>
        <v>12670.35</v>
      </c>
      <c r="Q54">
        <f t="shared" si="1"/>
        <v>1267.035</v>
      </c>
      <c r="R54">
        <f t="shared" si="2"/>
        <v>11403.315</v>
      </c>
      <c r="S54" t="str">
        <f t="shared" si="3"/>
        <v>High</v>
      </c>
      <c r="T54" t="str">
        <f t="shared" si="4"/>
        <v>Medium</v>
      </c>
      <c r="U54" t="str">
        <f t="shared" si="5"/>
        <v>Heavy Discount</v>
      </c>
      <c r="V54" t="str">
        <f t="shared" si="6"/>
        <v>Excellent Sales</v>
      </c>
      <c r="W54">
        <f t="shared" si="7"/>
        <v>99</v>
      </c>
      <c r="X54">
        <f t="shared" si="8"/>
        <v>106</v>
      </c>
      <c r="Y54">
        <f t="shared" si="9"/>
        <v>52</v>
      </c>
      <c r="Z54" t="str">
        <f t="shared" si="10"/>
        <v>Not Eligible</v>
      </c>
      <c r="AA54" t="str">
        <f t="shared" si="11"/>
        <v>Prriority Order</v>
      </c>
      <c r="AB54" t="str">
        <f t="shared" si="12"/>
        <v>Online</v>
      </c>
    </row>
    <row r="55" spans="1:28">
      <c r="A55" s="5">
        <v>10054</v>
      </c>
      <c r="B55" s="5">
        <v>1566</v>
      </c>
      <c r="C55" s="6">
        <v>45281</v>
      </c>
      <c r="D55" s="6">
        <v>45281</v>
      </c>
      <c r="E55" s="5" t="s">
        <v>106</v>
      </c>
      <c r="F55" s="5" t="s">
        <v>89</v>
      </c>
      <c r="G55" s="5" t="s">
        <v>90</v>
      </c>
      <c r="H55" s="5" t="s">
        <v>91</v>
      </c>
      <c r="I55" s="5" t="s">
        <v>115</v>
      </c>
      <c r="J55" s="5" t="s">
        <v>116</v>
      </c>
      <c r="K55" s="5" t="s">
        <v>87</v>
      </c>
      <c r="L55" s="5">
        <v>8</v>
      </c>
      <c r="M55" s="5">
        <v>1428.62</v>
      </c>
      <c r="N55" s="5">
        <v>10</v>
      </c>
      <c r="O55" s="5">
        <v>10286.06</v>
      </c>
      <c r="P55">
        <f t="shared" si="0"/>
        <v>11428.96</v>
      </c>
      <c r="Q55">
        <f t="shared" si="1"/>
        <v>1142.896</v>
      </c>
      <c r="R55">
        <f t="shared" si="2"/>
        <v>10286.064</v>
      </c>
      <c r="S55" t="str">
        <f t="shared" si="3"/>
        <v>High</v>
      </c>
      <c r="T55" t="str">
        <f t="shared" si="4"/>
        <v>High</v>
      </c>
      <c r="U55" t="str">
        <f t="shared" si="5"/>
        <v>Heavy Discount</v>
      </c>
      <c r="V55" t="str">
        <f t="shared" si="6"/>
        <v>Excellent Sales</v>
      </c>
      <c r="W55">
        <f t="shared" si="7"/>
        <v>99</v>
      </c>
      <c r="X55">
        <f t="shared" si="8"/>
        <v>106</v>
      </c>
      <c r="Y55">
        <f t="shared" si="9"/>
        <v>52</v>
      </c>
      <c r="Z55" t="str">
        <f t="shared" si="10"/>
        <v>Not Eligible</v>
      </c>
      <c r="AA55" t="str">
        <f t="shared" si="11"/>
        <v>Prriority Order</v>
      </c>
      <c r="AB55" t="str">
        <f t="shared" si="12"/>
        <v>Online</v>
      </c>
    </row>
    <row r="56" spans="1:28">
      <c r="A56" s="5">
        <v>10055</v>
      </c>
      <c r="B56" s="5">
        <v>1243</v>
      </c>
      <c r="C56" s="6">
        <v>45115</v>
      </c>
      <c r="D56" s="6">
        <v>45115</v>
      </c>
      <c r="E56" s="5" t="s">
        <v>103</v>
      </c>
      <c r="F56" s="5" t="s">
        <v>82</v>
      </c>
      <c r="G56" s="5" t="s">
        <v>90</v>
      </c>
      <c r="H56" s="5" t="s">
        <v>84</v>
      </c>
      <c r="I56" s="5" t="s">
        <v>123</v>
      </c>
      <c r="J56" s="5" t="s">
        <v>139</v>
      </c>
      <c r="K56" s="5" t="s">
        <v>111</v>
      </c>
      <c r="L56" s="5">
        <v>2</v>
      </c>
      <c r="M56" s="5">
        <v>3723.19</v>
      </c>
      <c r="N56" s="5">
        <v>5</v>
      </c>
      <c r="O56" s="5">
        <v>7074.06</v>
      </c>
      <c r="P56">
        <f t="shared" si="0"/>
        <v>7446.38</v>
      </c>
      <c r="Q56">
        <f t="shared" si="1"/>
        <v>372.319</v>
      </c>
      <c r="R56">
        <f t="shared" si="2"/>
        <v>7074.061</v>
      </c>
      <c r="S56" t="str">
        <f t="shared" si="3"/>
        <v>Low</v>
      </c>
      <c r="T56" t="str">
        <f t="shared" si="4"/>
        <v>Low</v>
      </c>
      <c r="U56" t="str">
        <f t="shared" si="5"/>
        <v>Heavy Discount</v>
      </c>
      <c r="V56" t="str">
        <f t="shared" si="6"/>
        <v>Excellent Sales</v>
      </c>
      <c r="W56">
        <f t="shared" si="7"/>
        <v>99</v>
      </c>
      <c r="X56">
        <f t="shared" si="8"/>
        <v>106</v>
      </c>
      <c r="Y56">
        <f t="shared" si="9"/>
        <v>51</v>
      </c>
      <c r="Z56" t="str">
        <f t="shared" si="10"/>
        <v>Not Eligible</v>
      </c>
      <c r="AA56" t="str">
        <f t="shared" si="11"/>
        <v>Prriority Order</v>
      </c>
      <c r="AB56" t="str">
        <f t="shared" si="12"/>
        <v>Online</v>
      </c>
    </row>
    <row r="57" spans="1:28">
      <c r="A57" s="5">
        <v>10056</v>
      </c>
      <c r="B57" s="5">
        <v>1831</v>
      </c>
      <c r="C57" s="6">
        <v>44934</v>
      </c>
      <c r="D57" s="6">
        <v>44934</v>
      </c>
      <c r="E57" s="5" t="s">
        <v>103</v>
      </c>
      <c r="F57" s="5" t="s">
        <v>95</v>
      </c>
      <c r="G57" s="5" t="s">
        <v>83</v>
      </c>
      <c r="H57" s="5" t="s">
        <v>108</v>
      </c>
      <c r="I57" s="5" t="s">
        <v>132</v>
      </c>
      <c r="J57" s="5" t="s">
        <v>137</v>
      </c>
      <c r="K57" s="5" t="s">
        <v>111</v>
      </c>
      <c r="L57" s="5">
        <v>6</v>
      </c>
      <c r="M57" s="5">
        <v>3402.72</v>
      </c>
      <c r="N57" s="5">
        <v>15</v>
      </c>
      <c r="O57" s="5">
        <v>17353.87</v>
      </c>
      <c r="P57">
        <f t="shared" si="0"/>
        <v>20416.32</v>
      </c>
      <c r="Q57">
        <f t="shared" si="1"/>
        <v>3062.448</v>
      </c>
      <c r="R57">
        <f t="shared" si="2"/>
        <v>17353.872</v>
      </c>
      <c r="S57" t="str">
        <f t="shared" si="3"/>
        <v>High</v>
      </c>
      <c r="T57" t="str">
        <f t="shared" si="4"/>
        <v>High</v>
      </c>
      <c r="U57" t="str">
        <f t="shared" si="5"/>
        <v>Heavy Discount</v>
      </c>
      <c r="V57" t="str">
        <f t="shared" si="6"/>
        <v>Excellent Sales</v>
      </c>
      <c r="W57">
        <f t="shared" si="7"/>
        <v>99</v>
      </c>
      <c r="X57">
        <f t="shared" si="8"/>
        <v>106</v>
      </c>
      <c r="Y57">
        <f t="shared" si="9"/>
        <v>51</v>
      </c>
      <c r="Z57" t="str">
        <f t="shared" si="10"/>
        <v>Not Eligible</v>
      </c>
      <c r="AA57" t="str">
        <f t="shared" si="11"/>
        <v>Prriority Order</v>
      </c>
      <c r="AB57" t="str">
        <f t="shared" si="12"/>
        <v>Online</v>
      </c>
    </row>
    <row r="58" spans="1:28">
      <c r="A58" s="5">
        <v>10057</v>
      </c>
      <c r="B58" s="5">
        <v>1504</v>
      </c>
      <c r="C58" s="6">
        <v>45122</v>
      </c>
      <c r="D58" s="6">
        <v>45122</v>
      </c>
      <c r="E58" s="5" t="s">
        <v>103</v>
      </c>
      <c r="F58" s="5" t="s">
        <v>95</v>
      </c>
      <c r="G58" s="5" t="s">
        <v>83</v>
      </c>
      <c r="H58" s="5" t="s">
        <v>91</v>
      </c>
      <c r="I58" s="5" t="s">
        <v>132</v>
      </c>
      <c r="J58" s="5" t="s">
        <v>133</v>
      </c>
      <c r="K58" s="5" t="s">
        <v>99</v>
      </c>
      <c r="L58" s="5">
        <v>9</v>
      </c>
      <c r="M58" s="5">
        <v>1012.33</v>
      </c>
      <c r="N58" s="5">
        <v>20</v>
      </c>
      <c r="O58" s="5">
        <v>7288.78</v>
      </c>
      <c r="P58">
        <f t="shared" si="0"/>
        <v>9110.97</v>
      </c>
      <c r="Q58">
        <f t="shared" si="1"/>
        <v>1822.194</v>
      </c>
      <c r="R58">
        <f t="shared" si="2"/>
        <v>7288.776</v>
      </c>
      <c r="S58" t="str">
        <f t="shared" si="3"/>
        <v>High</v>
      </c>
      <c r="T58" t="str">
        <f t="shared" si="4"/>
        <v>High</v>
      </c>
      <c r="U58" t="str">
        <f t="shared" si="5"/>
        <v>Heavy Discount</v>
      </c>
      <c r="V58" t="str">
        <f t="shared" si="6"/>
        <v>Excellent Sales</v>
      </c>
      <c r="W58">
        <f t="shared" si="7"/>
        <v>99</v>
      </c>
      <c r="X58">
        <f t="shared" si="8"/>
        <v>106</v>
      </c>
      <c r="Y58">
        <f t="shared" si="9"/>
        <v>51</v>
      </c>
      <c r="Z58" t="str">
        <f t="shared" si="10"/>
        <v>Not Eligible</v>
      </c>
      <c r="AA58" t="str">
        <f t="shared" si="11"/>
        <v>Prriority Order</v>
      </c>
      <c r="AB58" t="str">
        <f t="shared" si="12"/>
        <v>Online</v>
      </c>
    </row>
    <row r="59" spans="1:28">
      <c r="A59" s="5">
        <v>10058</v>
      </c>
      <c r="B59" s="5">
        <v>1130</v>
      </c>
      <c r="C59" s="6">
        <v>45048</v>
      </c>
      <c r="D59" s="6">
        <v>45048</v>
      </c>
      <c r="E59" s="5" t="s">
        <v>112</v>
      </c>
      <c r="F59" s="5" t="s">
        <v>95</v>
      </c>
      <c r="G59" s="5" t="s">
        <v>90</v>
      </c>
      <c r="H59" s="5" t="s">
        <v>110</v>
      </c>
      <c r="I59" s="5" t="s">
        <v>132</v>
      </c>
      <c r="J59" s="5" t="s">
        <v>134</v>
      </c>
      <c r="K59" s="5" t="s">
        <v>87</v>
      </c>
      <c r="L59" s="5">
        <v>8</v>
      </c>
      <c r="M59" s="5">
        <v>1070.7</v>
      </c>
      <c r="N59" s="5">
        <v>5</v>
      </c>
      <c r="O59" s="5">
        <v>8137.32</v>
      </c>
      <c r="P59">
        <f t="shared" si="0"/>
        <v>8565.6</v>
      </c>
      <c r="Q59">
        <f t="shared" si="1"/>
        <v>428.28</v>
      </c>
      <c r="R59">
        <f t="shared" si="2"/>
        <v>8137.32</v>
      </c>
      <c r="S59" t="str">
        <f t="shared" si="3"/>
        <v>High</v>
      </c>
      <c r="T59" t="str">
        <f t="shared" si="4"/>
        <v>High</v>
      </c>
      <c r="U59" t="str">
        <f t="shared" si="5"/>
        <v>Heavy Discount</v>
      </c>
      <c r="V59" t="str">
        <f t="shared" si="6"/>
        <v>Excellent Sales</v>
      </c>
      <c r="W59">
        <f t="shared" si="7"/>
        <v>99</v>
      </c>
      <c r="X59">
        <f t="shared" si="8"/>
        <v>106</v>
      </c>
      <c r="Y59">
        <f t="shared" si="9"/>
        <v>51</v>
      </c>
      <c r="Z59" t="str">
        <f t="shared" si="10"/>
        <v>Not Eligible</v>
      </c>
      <c r="AA59" t="str">
        <f t="shared" si="11"/>
        <v>Prriority Order</v>
      </c>
      <c r="AB59" t="str">
        <f t="shared" si="12"/>
        <v>Online</v>
      </c>
    </row>
    <row r="60" spans="1:28">
      <c r="A60" s="5">
        <v>10059</v>
      </c>
      <c r="B60" s="5">
        <v>1484</v>
      </c>
      <c r="C60" s="6">
        <v>44950</v>
      </c>
      <c r="D60" s="6">
        <v>44950</v>
      </c>
      <c r="E60" s="5" t="s">
        <v>106</v>
      </c>
      <c r="F60" s="5" t="s">
        <v>107</v>
      </c>
      <c r="G60" s="5" t="s">
        <v>90</v>
      </c>
      <c r="H60" s="5" t="s">
        <v>108</v>
      </c>
      <c r="I60" s="5" t="s">
        <v>123</v>
      </c>
      <c r="J60" s="5" t="s">
        <v>139</v>
      </c>
      <c r="K60" s="5" t="s">
        <v>99</v>
      </c>
      <c r="L60" s="5">
        <v>8</v>
      </c>
      <c r="M60" s="5">
        <v>2122.36</v>
      </c>
      <c r="N60" s="5">
        <v>0</v>
      </c>
      <c r="O60" s="5">
        <v>16978.88</v>
      </c>
      <c r="P60">
        <f t="shared" si="0"/>
        <v>16978.88</v>
      </c>
      <c r="Q60">
        <f t="shared" si="1"/>
        <v>0</v>
      </c>
      <c r="R60">
        <f t="shared" si="2"/>
        <v>16978.88</v>
      </c>
      <c r="S60" t="str">
        <f t="shared" si="3"/>
        <v>High</v>
      </c>
      <c r="T60" t="str">
        <f t="shared" si="4"/>
        <v>High</v>
      </c>
      <c r="U60" t="str">
        <f t="shared" si="5"/>
        <v>Normal Discount</v>
      </c>
      <c r="V60" t="str">
        <f t="shared" si="6"/>
        <v>Excellent Sales</v>
      </c>
      <c r="W60">
        <f t="shared" si="7"/>
        <v>99</v>
      </c>
      <c r="X60">
        <f t="shared" si="8"/>
        <v>106</v>
      </c>
      <c r="Y60">
        <f t="shared" si="9"/>
        <v>51</v>
      </c>
      <c r="Z60" t="str">
        <f t="shared" si="10"/>
        <v>Eligible</v>
      </c>
      <c r="AA60" t="str">
        <f t="shared" si="11"/>
        <v>Prriority Order</v>
      </c>
      <c r="AB60" t="str">
        <f t="shared" si="12"/>
        <v>Online</v>
      </c>
    </row>
    <row r="61" spans="1:28">
      <c r="A61" s="5">
        <v>10060</v>
      </c>
      <c r="B61" s="5">
        <v>1818</v>
      </c>
      <c r="C61" s="6">
        <v>44952</v>
      </c>
      <c r="D61" s="6">
        <v>44952</v>
      </c>
      <c r="E61" s="5" t="s">
        <v>112</v>
      </c>
      <c r="F61" s="5" t="s">
        <v>107</v>
      </c>
      <c r="G61" s="5" t="s">
        <v>96</v>
      </c>
      <c r="H61" s="5" t="s">
        <v>108</v>
      </c>
      <c r="I61" s="5" t="s">
        <v>132</v>
      </c>
      <c r="J61" s="5" t="s">
        <v>137</v>
      </c>
      <c r="K61" s="5" t="s">
        <v>111</v>
      </c>
      <c r="L61" s="5">
        <v>8</v>
      </c>
      <c r="M61" s="5">
        <v>3128.25</v>
      </c>
      <c r="N61" s="5">
        <v>15</v>
      </c>
      <c r="O61" s="5">
        <v>21272.1</v>
      </c>
      <c r="P61">
        <f t="shared" si="0"/>
        <v>25026</v>
      </c>
      <c r="Q61">
        <f t="shared" si="1"/>
        <v>3753.9</v>
      </c>
      <c r="R61">
        <f t="shared" si="2"/>
        <v>21272.1</v>
      </c>
      <c r="S61" t="str">
        <f t="shared" si="3"/>
        <v>High</v>
      </c>
      <c r="T61" t="str">
        <f t="shared" si="4"/>
        <v>High</v>
      </c>
      <c r="U61" t="str">
        <f t="shared" si="5"/>
        <v>Heavy Discount</v>
      </c>
      <c r="V61" t="str">
        <f t="shared" si="6"/>
        <v>Excellent Sales</v>
      </c>
      <c r="W61">
        <f t="shared" si="7"/>
        <v>99</v>
      </c>
      <c r="X61">
        <f t="shared" si="8"/>
        <v>106</v>
      </c>
      <c r="Y61">
        <f t="shared" si="9"/>
        <v>51</v>
      </c>
      <c r="Z61" t="str">
        <f t="shared" si="10"/>
        <v>Not Eligible</v>
      </c>
      <c r="AA61" t="str">
        <f t="shared" si="11"/>
        <v>Prriority Order</v>
      </c>
      <c r="AB61" t="str">
        <f t="shared" si="12"/>
        <v/>
      </c>
    </row>
    <row r="62" spans="1:28">
      <c r="A62" s="5">
        <v>10061</v>
      </c>
      <c r="B62" s="5">
        <v>1646</v>
      </c>
      <c r="C62" s="6">
        <v>44957</v>
      </c>
      <c r="D62" s="6">
        <v>44957</v>
      </c>
      <c r="E62" s="5" t="s">
        <v>103</v>
      </c>
      <c r="F62" s="5" t="s">
        <v>127</v>
      </c>
      <c r="G62" s="5" t="s">
        <v>90</v>
      </c>
      <c r="H62" s="5" t="s">
        <v>108</v>
      </c>
      <c r="I62" s="5" t="s">
        <v>92</v>
      </c>
      <c r="J62" s="5" t="s">
        <v>102</v>
      </c>
      <c r="K62" s="5" t="s">
        <v>111</v>
      </c>
      <c r="L62" s="5">
        <v>7</v>
      </c>
      <c r="M62" s="5">
        <v>319.56</v>
      </c>
      <c r="N62" s="5">
        <v>10</v>
      </c>
      <c r="O62" s="5">
        <v>2013.23</v>
      </c>
      <c r="P62">
        <f t="shared" si="0"/>
        <v>2236.92</v>
      </c>
      <c r="Q62">
        <f t="shared" si="1"/>
        <v>223.692</v>
      </c>
      <c r="R62">
        <f t="shared" si="2"/>
        <v>2013.228</v>
      </c>
      <c r="S62" t="str">
        <f t="shared" si="3"/>
        <v>High</v>
      </c>
      <c r="T62" t="str">
        <f t="shared" si="4"/>
        <v>High</v>
      </c>
      <c r="U62" t="str">
        <f t="shared" si="5"/>
        <v>Heavy Discount</v>
      </c>
      <c r="V62" t="str">
        <f t="shared" si="6"/>
        <v>Average</v>
      </c>
      <c r="W62">
        <f t="shared" si="7"/>
        <v>99</v>
      </c>
      <c r="X62">
        <f t="shared" si="8"/>
        <v>106</v>
      </c>
      <c r="Y62">
        <f t="shared" si="9"/>
        <v>51</v>
      </c>
      <c r="Z62" t="str">
        <f t="shared" si="10"/>
        <v>Not Eligible</v>
      </c>
      <c r="AA62" t="str">
        <f t="shared" si="11"/>
        <v>Prriority Order</v>
      </c>
      <c r="AB62" t="str">
        <f t="shared" si="12"/>
        <v>Online</v>
      </c>
    </row>
    <row r="63" spans="1:28">
      <c r="A63" s="5">
        <v>10062</v>
      </c>
      <c r="B63" s="5">
        <v>1020</v>
      </c>
      <c r="C63" s="6">
        <v>45226</v>
      </c>
      <c r="D63" s="6">
        <v>45226</v>
      </c>
      <c r="E63" s="5" t="s">
        <v>88</v>
      </c>
      <c r="F63" s="5" t="s">
        <v>95</v>
      </c>
      <c r="G63" s="5" t="s">
        <v>96</v>
      </c>
      <c r="H63" s="5" t="s">
        <v>101</v>
      </c>
      <c r="I63" s="5" t="s">
        <v>123</v>
      </c>
      <c r="J63" s="5" t="s">
        <v>131</v>
      </c>
      <c r="K63" s="5" t="s">
        <v>87</v>
      </c>
      <c r="L63" s="5">
        <v>8</v>
      </c>
      <c r="M63" s="5">
        <v>2819.34</v>
      </c>
      <c r="N63" s="5">
        <v>5</v>
      </c>
      <c r="O63" s="5">
        <v>21426.98</v>
      </c>
      <c r="P63">
        <f t="shared" si="0"/>
        <v>22554.72</v>
      </c>
      <c r="Q63">
        <f t="shared" si="1"/>
        <v>1127.736</v>
      </c>
      <c r="R63">
        <f t="shared" si="2"/>
        <v>21426.984</v>
      </c>
      <c r="S63" t="str">
        <f t="shared" si="3"/>
        <v>High</v>
      </c>
      <c r="T63" t="str">
        <f t="shared" si="4"/>
        <v>High</v>
      </c>
      <c r="U63" t="str">
        <f t="shared" si="5"/>
        <v>Heavy Discount</v>
      </c>
      <c r="V63" t="str">
        <f t="shared" si="6"/>
        <v>Excellent Sales</v>
      </c>
      <c r="W63">
        <f t="shared" si="7"/>
        <v>99</v>
      </c>
      <c r="X63">
        <f t="shared" si="8"/>
        <v>106</v>
      </c>
      <c r="Y63">
        <f t="shared" si="9"/>
        <v>51</v>
      </c>
      <c r="Z63" t="str">
        <f t="shared" si="10"/>
        <v>Not Eligible</v>
      </c>
      <c r="AA63" t="str">
        <f t="shared" si="11"/>
        <v>Prriority Order</v>
      </c>
      <c r="AB63" t="str">
        <f t="shared" si="12"/>
        <v/>
      </c>
    </row>
    <row r="64" spans="1:28">
      <c r="A64" s="5">
        <v>10063</v>
      </c>
      <c r="B64" s="5">
        <v>1840</v>
      </c>
      <c r="C64" s="6">
        <v>45043</v>
      </c>
      <c r="D64" s="6">
        <v>45043</v>
      </c>
      <c r="E64" s="5" t="s">
        <v>106</v>
      </c>
      <c r="F64" s="5" t="s">
        <v>89</v>
      </c>
      <c r="G64" s="5" t="s">
        <v>96</v>
      </c>
      <c r="H64" s="5" t="s">
        <v>108</v>
      </c>
      <c r="I64" s="5" t="s">
        <v>132</v>
      </c>
      <c r="J64" s="5" t="s">
        <v>137</v>
      </c>
      <c r="K64" s="5" t="s">
        <v>94</v>
      </c>
      <c r="L64" s="5">
        <v>6</v>
      </c>
      <c r="M64" s="5">
        <v>2645.71</v>
      </c>
      <c r="N64" s="5">
        <v>10</v>
      </c>
      <c r="O64" s="5">
        <v>14286.83</v>
      </c>
      <c r="P64">
        <f t="shared" si="0"/>
        <v>15874.26</v>
      </c>
      <c r="Q64">
        <f t="shared" si="1"/>
        <v>1587.426</v>
      </c>
      <c r="R64">
        <f t="shared" si="2"/>
        <v>14286.834</v>
      </c>
      <c r="S64" t="str">
        <f t="shared" si="3"/>
        <v>High</v>
      </c>
      <c r="T64" t="str">
        <f t="shared" si="4"/>
        <v>High</v>
      </c>
      <c r="U64" t="str">
        <f t="shared" si="5"/>
        <v>Heavy Discount</v>
      </c>
      <c r="V64" t="str">
        <f t="shared" si="6"/>
        <v>Excellent Sales</v>
      </c>
      <c r="W64">
        <f t="shared" si="7"/>
        <v>99</v>
      </c>
      <c r="X64">
        <f t="shared" si="8"/>
        <v>106</v>
      </c>
      <c r="Y64">
        <f t="shared" si="9"/>
        <v>51</v>
      </c>
      <c r="Z64" t="str">
        <f t="shared" si="10"/>
        <v>Not Eligible</v>
      </c>
      <c r="AA64" t="str">
        <f t="shared" si="11"/>
        <v>Prriority Order</v>
      </c>
      <c r="AB64" t="str">
        <f t="shared" si="12"/>
        <v/>
      </c>
    </row>
    <row r="65" spans="1:28">
      <c r="A65" s="5">
        <v>10064</v>
      </c>
      <c r="B65" s="5">
        <v>1166</v>
      </c>
      <c r="C65" s="6">
        <v>45216</v>
      </c>
      <c r="D65" s="6">
        <v>45216</v>
      </c>
      <c r="E65" s="5" t="s">
        <v>106</v>
      </c>
      <c r="F65" s="5" t="s">
        <v>82</v>
      </c>
      <c r="G65" s="5" t="s">
        <v>96</v>
      </c>
      <c r="H65" s="5" t="s">
        <v>84</v>
      </c>
      <c r="I65" s="5" t="s">
        <v>92</v>
      </c>
      <c r="J65" s="5" t="s">
        <v>102</v>
      </c>
      <c r="K65" s="5" t="s">
        <v>113</v>
      </c>
      <c r="L65" s="5">
        <v>2</v>
      </c>
      <c r="M65" s="5">
        <v>1041.2</v>
      </c>
      <c r="N65" s="5">
        <v>15</v>
      </c>
      <c r="O65" s="5">
        <v>1770.04</v>
      </c>
      <c r="P65">
        <f t="shared" si="0"/>
        <v>2082.4</v>
      </c>
      <c r="Q65">
        <f t="shared" si="1"/>
        <v>312.36</v>
      </c>
      <c r="R65">
        <f t="shared" si="2"/>
        <v>1770.04</v>
      </c>
      <c r="S65" t="str">
        <f t="shared" si="3"/>
        <v>Low</v>
      </c>
      <c r="T65" t="str">
        <f t="shared" si="4"/>
        <v>Low</v>
      </c>
      <c r="U65" t="str">
        <f t="shared" si="5"/>
        <v>Heavy Discount</v>
      </c>
      <c r="V65" t="str">
        <f t="shared" si="6"/>
        <v>Average</v>
      </c>
      <c r="W65">
        <f t="shared" si="7"/>
        <v>99</v>
      </c>
      <c r="X65">
        <f t="shared" si="8"/>
        <v>106</v>
      </c>
      <c r="Y65">
        <f t="shared" si="9"/>
        <v>51</v>
      </c>
      <c r="Z65" t="str">
        <f t="shared" si="10"/>
        <v>Not Eligible</v>
      </c>
      <c r="AA65" t="str">
        <f t="shared" si="11"/>
        <v>Normal Order</v>
      </c>
      <c r="AB65" t="str">
        <f t="shared" si="12"/>
        <v/>
      </c>
    </row>
    <row r="66" spans="1:28">
      <c r="A66" s="5">
        <v>10065</v>
      </c>
      <c r="B66" s="5">
        <v>1273</v>
      </c>
      <c r="C66" s="6">
        <v>45058</v>
      </c>
      <c r="D66" s="6">
        <v>45058</v>
      </c>
      <c r="E66" s="5" t="s">
        <v>81</v>
      </c>
      <c r="F66" s="5" t="s">
        <v>104</v>
      </c>
      <c r="G66" s="5" t="s">
        <v>83</v>
      </c>
      <c r="H66" s="5" t="s">
        <v>108</v>
      </c>
      <c r="I66" s="5" t="s">
        <v>85</v>
      </c>
      <c r="J66" s="5" t="s">
        <v>109</v>
      </c>
      <c r="K66" s="5" t="s">
        <v>111</v>
      </c>
      <c r="L66" s="5">
        <v>2</v>
      </c>
      <c r="M66" s="5">
        <v>2773.21</v>
      </c>
      <c r="N66" s="5">
        <v>10</v>
      </c>
      <c r="O66" s="5">
        <v>4991.78</v>
      </c>
      <c r="P66">
        <f t="shared" si="0"/>
        <v>5546.42</v>
      </c>
      <c r="Q66">
        <f t="shared" si="1"/>
        <v>554.642</v>
      </c>
      <c r="R66">
        <f t="shared" si="2"/>
        <v>4991.778</v>
      </c>
      <c r="S66" t="str">
        <f t="shared" si="3"/>
        <v>Low</v>
      </c>
      <c r="T66" t="str">
        <f t="shared" si="4"/>
        <v>Low</v>
      </c>
      <c r="U66" t="str">
        <f t="shared" si="5"/>
        <v>Heavy Discount</v>
      </c>
      <c r="V66" t="str">
        <f t="shared" si="6"/>
        <v>Good</v>
      </c>
      <c r="W66">
        <f t="shared" si="7"/>
        <v>99</v>
      </c>
      <c r="X66">
        <f t="shared" si="8"/>
        <v>106</v>
      </c>
      <c r="Y66">
        <f t="shared" si="9"/>
        <v>51</v>
      </c>
      <c r="Z66" t="str">
        <f t="shared" si="10"/>
        <v>Not Eligible</v>
      </c>
      <c r="AA66" t="str">
        <f t="shared" si="11"/>
        <v>Normal Order</v>
      </c>
      <c r="AB66" t="str">
        <f t="shared" si="12"/>
        <v>Online</v>
      </c>
    </row>
    <row r="67" spans="1:28">
      <c r="A67" s="5">
        <v>10066</v>
      </c>
      <c r="B67" s="5">
        <v>1387</v>
      </c>
      <c r="C67" s="6">
        <v>45158</v>
      </c>
      <c r="D67" s="6">
        <v>45158</v>
      </c>
      <c r="E67" s="5" t="s">
        <v>81</v>
      </c>
      <c r="F67" s="5" t="s">
        <v>89</v>
      </c>
      <c r="G67" s="5" t="s">
        <v>83</v>
      </c>
      <c r="H67" s="5" t="s">
        <v>101</v>
      </c>
      <c r="I67" s="5" t="s">
        <v>132</v>
      </c>
      <c r="J67" s="5" t="s">
        <v>142</v>
      </c>
      <c r="K67" s="5" t="s">
        <v>111</v>
      </c>
      <c r="L67" s="5">
        <v>8</v>
      </c>
      <c r="M67" s="5">
        <v>3769.71</v>
      </c>
      <c r="N67" s="5">
        <v>5</v>
      </c>
      <c r="O67" s="5">
        <v>28649.8</v>
      </c>
      <c r="P67">
        <f t="shared" ref="P67:P130" si="13">L67*M67</f>
        <v>30157.68</v>
      </c>
      <c r="Q67">
        <f t="shared" ref="Q67:Q130" si="14">P67*(N67/100)</f>
        <v>1507.884</v>
      </c>
      <c r="R67">
        <f t="shared" ref="R67:R130" si="15">P67-Q67</f>
        <v>28649.796</v>
      </c>
      <c r="S67" t="str">
        <f t="shared" ref="S67:S130" si="16">IF(L67&gt;=5,"High","Low")</f>
        <v>High</v>
      </c>
      <c r="T67" t="str">
        <f t="shared" ref="T67:T130" si="17">IF(L67&gt;5,"High",IF(L67=5,"Medium","Low"))</f>
        <v>High</v>
      </c>
      <c r="U67" t="str">
        <f t="shared" ref="U67:U130" si="18">IF(N67&gt;10%,"Heavy Discount","Normal Discount")</f>
        <v>Heavy Discount</v>
      </c>
      <c r="V67" t="str">
        <f t="shared" ref="V67:V130" si="19">IF(O67&gt;=7000,"Excellent Sales",IF(O67&gt;=4000,"Good","Average"))</f>
        <v>Excellent Sales</v>
      </c>
      <c r="W67">
        <f t="shared" ref="W67:W130" si="20">COUNTIF($I$2:$I$501,"Beauty")</f>
        <v>99</v>
      </c>
      <c r="X67">
        <f t="shared" ref="X67:X130" si="21">COUNTIF($N$2:$N$501,"&gt;15")</f>
        <v>106</v>
      </c>
      <c r="Y67">
        <f t="shared" ref="Y67:Y130" si="22">COUNTIFS(I67:I566,"Electronics",G67:G566,"&lt;&gt;Marketplace")</f>
        <v>51</v>
      </c>
      <c r="Z67" t="str">
        <f t="shared" ref="Z67:Z130" si="23">IF(AND(O67:O566,N67&lt;10%),"Eligible","Not Eligible")</f>
        <v>Not Eligible</v>
      </c>
      <c r="AA67" t="str">
        <f t="shared" ref="AA67:AA130" si="24">IF(OR(O67&gt;7000,L67&gt;5),"Prriority Order","Normal Order")</f>
        <v>Prriority Order</v>
      </c>
      <c r="AB67" t="str">
        <f t="shared" ref="AB67:AB130" si="25">IF(G67&lt;&gt;"Marketplace","Online","")</f>
        <v>Online</v>
      </c>
    </row>
    <row r="68" spans="1:28">
      <c r="A68" s="5">
        <v>10067</v>
      </c>
      <c r="B68" s="5">
        <v>1600</v>
      </c>
      <c r="C68" s="6">
        <v>45038</v>
      </c>
      <c r="D68" s="6">
        <v>45038</v>
      </c>
      <c r="E68" s="5" t="s">
        <v>82</v>
      </c>
      <c r="F68" s="5" t="s">
        <v>107</v>
      </c>
      <c r="G68" s="5" t="s">
        <v>90</v>
      </c>
      <c r="H68" s="5" t="s">
        <v>108</v>
      </c>
      <c r="I68" s="5" t="s">
        <v>123</v>
      </c>
      <c r="J68" s="5" t="s">
        <v>139</v>
      </c>
      <c r="K68" s="5" t="s">
        <v>94</v>
      </c>
      <c r="L68" s="5">
        <v>1</v>
      </c>
      <c r="M68" s="5">
        <v>330.13</v>
      </c>
      <c r="N68" s="5">
        <v>15</v>
      </c>
      <c r="O68" s="5">
        <v>280.61</v>
      </c>
      <c r="P68">
        <f t="shared" si="13"/>
        <v>330.13</v>
      </c>
      <c r="Q68">
        <f t="shared" si="14"/>
        <v>49.5195</v>
      </c>
      <c r="R68">
        <f t="shared" si="15"/>
        <v>280.6105</v>
      </c>
      <c r="S68" t="str">
        <f t="shared" si="16"/>
        <v>Low</v>
      </c>
      <c r="T68" t="str">
        <f t="shared" si="17"/>
        <v>Low</v>
      </c>
      <c r="U68" t="str">
        <f t="shared" si="18"/>
        <v>Heavy Discount</v>
      </c>
      <c r="V68" t="str">
        <f t="shared" si="19"/>
        <v>Average</v>
      </c>
      <c r="W68">
        <f t="shared" si="20"/>
        <v>99</v>
      </c>
      <c r="X68">
        <f t="shared" si="21"/>
        <v>106</v>
      </c>
      <c r="Y68">
        <f t="shared" si="22"/>
        <v>51</v>
      </c>
      <c r="Z68" t="str">
        <f t="shared" si="23"/>
        <v>Not Eligible</v>
      </c>
      <c r="AA68" t="str">
        <f t="shared" si="24"/>
        <v>Normal Order</v>
      </c>
      <c r="AB68" t="str">
        <f t="shared" si="25"/>
        <v>Online</v>
      </c>
    </row>
    <row r="69" spans="1:28">
      <c r="A69" s="5">
        <v>10068</v>
      </c>
      <c r="B69" s="5">
        <v>1315</v>
      </c>
      <c r="C69" s="6">
        <v>45064</v>
      </c>
      <c r="D69" s="6">
        <v>45064</v>
      </c>
      <c r="E69" s="5" t="s">
        <v>100</v>
      </c>
      <c r="F69" s="5" t="s">
        <v>107</v>
      </c>
      <c r="G69" s="5" t="s">
        <v>96</v>
      </c>
      <c r="H69" s="5" t="s">
        <v>110</v>
      </c>
      <c r="I69" s="5" t="s">
        <v>97</v>
      </c>
      <c r="J69" s="5" t="s">
        <v>114</v>
      </c>
      <c r="K69" s="5" t="s">
        <v>94</v>
      </c>
      <c r="L69" s="5">
        <v>6</v>
      </c>
      <c r="M69" s="5">
        <v>1380.66</v>
      </c>
      <c r="N69" s="5">
        <v>0</v>
      </c>
      <c r="O69" s="5">
        <v>8283.96</v>
      </c>
      <c r="P69">
        <f t="shared" si="13"/>
        <v>8283.96</v>
      </c>
      <c r="Q69">
        <f t="shared" si="14"/>
        <v>0</v>
      </c>
      <c r="R69">
        <f t="shared" si="15"/>
        <v>8283.96</v>
      </c>
      <c r="S69" t="str">
        <f t="shared" si="16"/>
        <v>High</v>
      </c>
      <c r="T69" t="str">
        <f t="shared" si="17"/>
        <v>High</v>
      </c>
      <c r="U69" t="str">
        <f t="shared" si="18"/>
        <v>Normal Discount</v>
      </c>
      <c r="V69" t="str">
        <f t="shared" si="19"/>
        <v>Excellent Sales</v>
      </c>
      <c r="W69">
        <f t="shared" si="20"/>
        <v>99</v>
      </c>
      <c r="X69">
        <f t="shared" si="21"/>
        <v>106</v>
      </c>
      <c r="Y69">
        <f t="shared" si="22"/>
        <v>51</v>
      </c>
      <c r="Z69" t="str">
        <f t="shared" si="23"/>
        <v>Eligible</v>
      </c>
      <c r="AA69" t="str">
        <f t="shared" si="24"/>
        <v>Prriority Order</v>
      </c>
      <c r="AB69" t="str">
        <f t="shared" si="25"/>
        <v/>
      </c>
    </row>
    <row r="70" spans="1:28">
      <c r="A70" s="5">
        <v>10069</v>
      </c>
      <c r="B70" s="5">
        <v>1013</v>
      </c>
      <c r="C70" s="6">
        <v>45296</v>
      </c>
      <c r="D70" s="6">
        <v>45296</v>
      </c>
      <c r="E70" s="5" t="s">
        <v>81</v>
      </c>
      <c r="F70" s="5" t="s">
        <v>89</v>
      </c>
      <c r="G70" s="5" t="s">
        <v>83</v>
      </c>
      <c r="H70" s="5" t="s">
        <v>110</v>
      </c>
      <c r="I70" s="5" t="s">
        <v>132</v>
      </c>
      <c r="J70" s="5" t="s">
        <v>137</v>
      </c>
      <c r="K70" s="5" t="s">
        <v>99</v>
      </c>
      <c r="L70" s="5">
        <v>6</v>
      </c>
      <c r="M70" s="5">
        <v>1836.98</v>
      </c>
      <c r="N70" s="5">
        <v>5</v>
      </c>
      <c r="O70" s="5">
        <v>10470.79</v>
      </c>
      <c r="P70">
        <f t="shared" si="13"/>
        <v>11021.88</v>
      </c>
      <c r="Q70">
        <f t="shared" si="14"/>
        <v>551.094</v>
      </c>
      <c r="R70">
        <f t="shared" si="15"/>
        <v>10470.786</v>
      </c>
      <c r="S70" t="str">
        <f t="shared" si="16"/>
        <v>High</v>
      </c>
      <c r="T70" t="str">
        <f t="shared" si="17"/>
        <v>High</v>
      </c>
      <c r="U70" t="str">
        <f t="shared" si="18"/>
        <v>Heavy Discount</v>
      </c>
      <c r="V70" t="str">
        <f t="shared" si="19"/>
        <v>Excellent Sales</v>
      </c>
      <c r="W70">
        <f t="shared" si="20"/>
        <v>99</v>
      </c>
      <c r="X70">
        <f t="shared" si="21"/>
        <v>106</v>
      </c>
      <c r="Y70">
        <f t="shared" si="22"/>
        <v>51</v>
      </c>
      <c r="Z70" t="str">
        <f t="shared" si="23"/>
        <v>Not Eligible</v>
      </c>
      <c r="AA70" t="str">
        <f t="shared" si="24"/>
        <v>Prriority Order</v>
      </c>
      <c r="AB70" t="str">
        <f t="shared" si="25"/>
        <v>Online</v>
      </c>
    </row>
    <row r="71" spans="1:28">
      <c r="A71" s="5">
        <v>10070</v>
      </c>
      <c r="B71" s="5">
        <v>1241</v>
      </c>
      <c r="C71" s="6">
        <v>45113</v>
      </c>
      <c r="D71" s="6">
        <v>45113</v>
      </c>
      <c r="E71" s="5" t="s">
        <v>112</v>
      </c>
      <c r="F71" s="5" t="s">
        <v>107</v>
      </c>
      <c r="G71" s="5" t="s">
        <v>83</v>
      </c>
      <c r="H71" s="5" t="s">
        <v>101</v>
      </c>
      <c r="I71" s="5" t="s">
        <v>97</v>
      </c>
      <c r="J71" s="5" t="s">
        <v>105</v>
      </c>
      <c r="K71" s="5" t="s">
        <v>99</v>
      </c>
      <c r="L71" s="5">
        <v>4</v>
      </c>
      <c r="M71" s="5">
        <v>3612.15</v>
      </c>
      <c r="N71" s="5">
        <v>20</v>
      </c>
      <c r="O71" s="5">
        <v>11558.88</v>
      </c>
      <c r="P71">
        <f t="shared" si="13"/>
        <v>14448.6</v>
      </c>
      <c r="Q71">
        <f t="shared" si="14"/>
        <v>2889.72</v>
      </c>
      <c r="R71">
        <f t="shared" si="15"/>
        <v>11558.88</v>
      </c>
      <c r="S71" t="str">
        <f t="shared" si="16"/>
        <v>Low</v>
      </c>
      <c r="T71" t="str">
        <f t="shared" si="17"/>
        <v>Low</v>
      </c>
      <c r="U71" t="str">
        <f t="shared" si="18"/>
        <v>Heavy Discount</v>
      </c>
      <c r="V71" t="str">
        <f t="shared" si="19"/>
        <v>Excellent Sales</v>
      </c>
      <c r="W71">
        <f t="shared" si="20"/>
        <v>99</v>
      </c>
      <c r="X71">
        <f t="shared" si="21"/>
        <v>106</v>
      </c>
      <c r="Y71">
        <f t="shared" si="22"/>
        <v>51</v>
      </c>
      <c r="Z71" t="str">
        <f t="shared" si="23"/>
        <v>Not Eligible</v>
      </c>
      <c r="AA71" t="str">
        <f t="shared" si="24"/>
        <v>Prriority Order</v>
      </c>
      <c r="AB71" t="str">
        <f t="shared" si="25"/>
        <v>Online</v>
      </c>
    </row>
    <row r="72" spans="1:28">
      <c r="A72" s="5">
        <v>10071</v>
      </c>
      <c r="B72" s="5">
        <v>1776</v>
      </c>
      <c r="C72" s="6">
        <v>45078</v>
      </c>
      <c r="D72" s="6">
        <v>45078</v>
      </c>
      <c r="E72" s="5" t="s">
        <v>81</v>
      </c>
      <c r="F72" s="5" t="s">
        <v>95</v>
      </c>
      <c r="G72" s="5" t="s">
        <v>83</v>
      </c>
      <c r="H72" s="5" t="s">
        <v>84</v>
      </c>
      <c r="I72" s="5" t="s">
        <v>92</v>
      </c>
      <c r="J72" s="5" t="s">
        <v>136</v>
      </c>
      <c r="K72" s="5" t="s">
        <v>113</v>
      </c>
      <c r="L72" s="5">
        <v>3</v>
      </c>
      <c r="M72" s="5">
        <v>3854.71</v>
      </c>
      <c r="N72" s="5">
        <v>5</v>
      </c>
      <c r="O72" s="5">
        <v>10985.92</v>
      </c>
      <c r="P72">
        <f t="shared" si="13"/>
        <v>11564.13</v>
      </c>
      <c r="Q72">
        <f t="shared" si="14"/>
        <v>578.2065</v>
      </c>
      <c r="R72">
        <f t="shared" si="15"/>
        <v>10985.9235</v>
      </c>
      <c r="S72" t="str">
        <f t="shared" si="16"/>
        <v>Low</v>
      </c>
      <c r="T72" t="str">
        <f t="shared" si="17"/>
        <v>Low</v>
      </c>
      <c r="U72" t="str">
        <f t="shared" si="18"/>
        <v>Heavy Discount</v>
      </c>
      <c r="V72" t="str">
        <f t="shared" si="19"/>
        <v>Excellent Sales</v>
      </c>
      <c r="W72">
        <f t="shared" si="20"/>
        <v>99</v>
      </c>
      <c r="X72">
        <f t="shared" si="21"/>
        <v>106</v>
      </c>
      <c r="Y72">
        <f t="shared" si="22"/>
        <v>51</v>
      </c>
      <c r="Z72" t="str">
        <f t="shared" si="23"/>
        <v>Not Eligible</v>
      </c>
      <c r="AA72" t="str">
        <f t="shared" si="24"/>
        <v>Prriority Order</v>
      </c>
      <c r="AB72" t="str">
        <f t="shared" si="25"/>
        <v>Online</v>
      </c>
    </row>
    <row r="73" spans="1:28">
      <c r="A73" s="5">
        <v>10072</v>
      </c>
      <c r="B73" s="5">
        <v>1345</v>
      </c>
      <c r="C73" s="6">
        <v>45005</v>
      </c>
      <c r="D73" s="6">
        <v>45005</v>
      </c>
      <c r="E73" s="5" t="s">
        <v>82</v>
      </c>
      <c r="F73" s="5" t="s">
        <v>127</v>
      </c>
      <c r="G73" s="5" t="s">
        <v>83</v>
      </c>
      <c r="H73" s="5" t="s">
        <v>84</v>
      </c>
      <c r="I73" s="5" t="s">
        <v>85</v>
      </c>
      <c r="J73" s="5" t="s">
        <v>129</v>
      </c>
      <c r="K73" s="5" t="s">
        <v>113</v>
      </c>
      <c r="L73" s="5">
        <v>3</v>
      </c>
      <c r="M73" s="5">
        <v>1859.84</v>
      </c>
      <c r="N73" s="5">
        <v>15</v>
      </c>
      <c r="O73" s="5">
        <v>4742.59</v>
      </c>
      <c r="P73">
        <f t="shared" si="13"/>
        <v>5579.52</v>
      </c>
      <c r="Q73">
        <f t="shared" si="14"/>
        <v>836.928</v>
      </c>
      <c r="R73">
        <f t="shared" si="15"/>
        <v>4742.592</v>
      </c>
      <c r="S73" t="str">
        <f t="shared" si="16"/>
        <v>Low</v>
      </c>
      <c r="T73" t="str">
        <f t="shared" si="17"/>
        <v>Low</v>
      </c>
      <c r="U73" t="str">
        <f t="shared" si="18"/>
        <v>Heavy Discount</v>
      </c>
      <c r="V73" t="str">
        <f t="shared" si="19"/>
        <v>Good</v>
      </c>
      <c r="W73">
        <f t="shared" si="20"/>
        <v>99</v>
      </c>
      <c r="X73">
        <f t="shared" si="21"/>
        <v>106</v>
      </c>
      <c r="Y73">
        <f t="shared" si="22"/>
        <v>51</v>
      </c>
      <c r="Z73" t="str">
        <f t="shared" si="23"/>
        <v>Not Eligible</v>
      </c>
      <c r="AA73" t="str">
        <f t="shared" si="24"/>
        <v>Normal Order</v>
      </c>
      <c r="AB73" t="str">
        <f t="shared" si="25"/>
        <v>Online</v>
      </c>
    </row>
    <row r="74" spans="1:28">
      <c r="A74" s="5">
        <v>10073</v>
      </c>
      <c r="B74" s="5">
        <v>1564</v>
      </c>
      <c r="C74" s="6">
        <v>45063</v>
      </c>
      <c r="D74" s="6">
        <v>45063</v>
      </c>
      <c r="E74" s="5" t="s">
        <v>106</v>
      </c>
      <c r="F74" s="5" t="s">
        <v>82</v>
      </c>
      <c r="G74" s="5" t="s">
        <v>83</v>
      </c>
      <c r="H74" s="5" t="s">
        <v>91</v>
      </c>
      <c r="I74" s="5" t="s">
        <v>115</v>
      </c>
      <c r="J74" s="5" t="s">
        <v>143</v>
      </c>
      <c r="K74" s="5" t="s">
        <v>87</v>
      </c>
      <c r="L74" s="5">
        <v>1</v>
      </c>
      <c r="M74" s="5">
        <v>3037.61</v>
      </c>
      <c r="N74" s="5">
        <v>5</v>
      </c>
      <c r="O74" s="5">
        <v>2885.73</v>
      </c>
      <c r="P74">
        <f t="shared" si="13"/>
        <v>3037.61</v>
      </c>
      <c r="Q74">
        <f t="shared" si="14"/>
        <v>151.8805</v>
      </c>
      <c r="R74">
        <f t="shared" si="15"/>
        <v>2885.7295</v>
      </c>
      <c r="S74" t="str">
        <f t="shared" si="16"/>
        <v>Low</v>
      </c>
      <c r="T74" t="str">
        <f t="shared" si="17"/>
        <v>Low</v>
      </c>
      <c r="U74" t="str">
        <f t="shared" si="18"/>
        <v>Heavy Discount</v>
      </c>
      <c r="V74" t="str">
        <f t="shared" si="19"/>
        <v>Average</v>
      </c>
      <c r="W74">
        <f t="shared" si="20"/>
        <v>99</v>
      </c>
      <c r="X74">
        <f t="shared" si="21"/>
        <v>106</v>
      </c>
      <c r="Y74">
        <f t="shared" si="22"/>
        <v>51</v>
      </c>
      <c r="Z74" t="str">
        <f t="shared" si="23"/>
        <v>Not Eligible</v>
      </c>
      <c r="AA74" t="str">
        <f t="shared" si="24"/>
        <v>Normal Order</v>
      </c>
      <c r="AB74" t="str">
        <f t="shared" si="25"/>
        <v>Online</v>
      </c>
    </row>
    <row r="75" spans="1:28">
      <c r="A75" s="5">
        <v>10074</v>
      </c>
      <c r="B75" s="5">
        <v>1897</v>
      </c>
      <c r="C75" s="6">
        <v>45296</v>
      </c>
      <c r="D75" s="6">
        <v>45296</v>
      </c>
      <c r="E75" s="5" t="s">
        <v>82</v>
      </c>
      <c r="F75" s="5" t="s">
        <v>127</v>
      </c>
      <c r="G75" s="5" t="s">
        <v>96</v>
      </c>
      <c r="H75" s="5" t="s">
        <v>101</v>
      </c>
      <c r="I75" s="5" t="s">
        <v>85</v>
      </c>
      <c r="J75" s="5" t="s">
        <v>109</v>
      </c>
      <c r="K75" s="5" t="s">
        <v>99</v>
      </c>
      <c r="L75" s="5">
        <v>3</v>
      </c>
      <c r="M75" s="5">
        <v>2196.89</v>
      </c>
      <c r="N75" s="5">
        <v>0</v>
      </c>
      <c r="O75" s="5">
        <v>6590.67</v>
      </c>
      <c r="P75">
        <f t="shared" si="13"/>
        <v>6590.67</v>
      </c>
      <c r="Q75">
        <f t="shared" si="14"/>
        <v>0</v>
      </c>
      <c r="R75">
        <f t="shared" si="15"/>
        <v>6590.67</v>
      </c>
      <c r="S75" t="str">
        <f t="shared" si="16"/>
        <v>Low</v>
      </c>
      <c r="T75" t="str">
        <f t="shared" si="17"/>
        <v>Low</v>
      </c>
      <c r="U75" t="str">
        <f t="shared" si="18"/>
        <v>Normal Discount</v>
      </c>
      <c r="V75" t="str">
        <f t="shared" si="19"/>
        <v>Good</v>
      </c>
      <c r="W75">
        <f t="shared" si="20"/>
        <v>99</v>
      </c>
      <c r="X75">
        <f t="shared" si="21"/>
        <v>106</v>
      </c>
      <c r="Y75">
        <f t="shared" si="22"/>
        <v>50</v>
      </c>
      <c r="Z75" t="str">
        <f t="shared" si="23"/>
        <v>Eligible</v>
      </c>
      <c r="AA75" t="str">
        <f t="shared" si="24"/>
        <v>Normal Order</v>
      </c>
      <c r="AB75" t="str">
        <f t="shared" si="25"/>
        <v/>
      </c>
    </row>
    <row r="76" spans="1:28">
      <c r="A76" s="5">
        <v>10075</v>
      </c>
      <c r="B76" s="5">
        <v>1339</v>
      </c>
      <c r="C76" s="6">
        <v>45196</v>
      </c>
      <c r="D76" s="6">
        <v>45196</v>
      </c>
      <c r="E76" s="5" t="s">
        <v>106</v>
      </c>
      <c r="F76" s="5" t="s">
        <v>82</v>
      </c>
      <c r="G76" s="5" t="s">
        <v>96</v>
      </c>
      <c r="H76" s="5" t="s">
        <v>108</v>
      </c>
      <c r="I76" s="5" t="s">
        <v>132</v>
      </c>
      <c r="J76" s="5" t="s">
        <v>133</v>
      </c>
      <c r="K76" s="5" t="s">
        <v>111</v>
      </c>
      <c r="L76" s="5">
        <v>4</v>
      </c>
      <c r="M76" s="5">
        <v>2220.46</v>
      </c>
      <c r="N76" s="5">
        <v>0</v>
      </c>
      <c r="O76" s="5">
        <v>8881.84</v>
      </c>
      <c r="P76">
        <f t="shared" si="13"/>
        <v>8881.84</v>
      </c>
      <c r="Q76">
        <f t="shared" si="14"/>
        <v>0</v>
      </c>
      <c r="R76">
        <f t="shared" si="15"/>
        <v>8881.84</v>
      </c>
      <c r="S76" t="str">
        <f t="shared" si="16"/>
        <v>Low</v>
      </c>
      <c r="T76" t="str">
        <f t="shared" si="17"/>
        <v>Low</v>
      </c>
      <c r="U76" t="str">
        <f t="shared" si="18"/>
        <v>Normal Discount</v>
      </c>
      <c r="V76" t="str">
        <f t="shared" si="19"/>
        <v>Excellent Sales</v>
      </c>
      <c r="W76">
        <f t="shared" si="20"/>
        <v>99</v>
      </c>
      <c r="X76">
        <f t="shared" si="21"/>
        <v>106</v>
      </c>
      <c r="Y76">
        <f t="shared" si="22"/>
        <v>50</v>
      </c>
      <c r="Z76" t="str">
        <f t="shared" si="23"/>
        <v>Eligible</v>
      </c>
      <c r="AA76" t="str">
        <f t="shared" si="24"/>
        <v>Prriority Order</v>
      </c>
      <c r="AB76" t="str">
        <f t="shared" si="25"/>
        <v/>
      </c>
    </row>
    <row r="77" spans="1:28">
      <c r="A77" s="5">
        <v>10076</v>
      </c>
      <c r="B77" s="5">
        <v>1091</v>
      </c>
      <c r="C77" s="6">
        <v>44932</v>
      </c>
      <c r="D77" s="6">
        <v>44932</v>
      </c>
      <c r="E77" s="5" t="s">
        <v>88</v>
      </c>
      <c r="F77" s="5" t="s">
        <v>82</v>
      </c>
      <c r="G77" s="5" t="s">
        <v>96</v>
      </c>
      <c r="H77" s="5" t="s">
        <v>101</v>
      </c>
      <c r="I77" s="5" t="s">
        <v>97</v>
      </c>
      <c r="J77" s="5" t="s">
        <v>105</v>
      </c>
      <c r="K77" s="5" t="s">
        <v>99</v>
      </c>
      <c r="L77" s="5">
        <v>5</v>
      </c>
      <c r="M77" s="5">
        <v>1220.68</v>
      </c>
      <c r="N77" s="5">
        <v>20</v>
      </c>
      <c r="O77" s="5">
        <v>4882.72</v>
      </c>
      <c r="P77">
        <f t="shared" si="13"/>
        <v>6103.4</v>
      </c>
      <c r="Q77">
        <f t="shared" si="14"/>
        <v>1220.68</v>
      </c>
      <c r="R77">
        <f t="shared" si="15"/>
        <v>4882.72</v>
      </c>
      <c r="S77" t="str">
        <f t="shared" si="16"/>
        <v>High</v>
      </c>
      <c r="T77" t="str">
        <f t="shared" si="17"/>
        <v>Medium</v>
      </c>
      <c r="U77" t="str">
        <f t="shared" si="18"/>
        <v>Heavy Discount</v>
      </c>
      <c r="V77" t="str">
        <f t="shared" si="19"/>
        <v>Good</v>
      </c>
      <c r="W77">
        <f t="shared" si="20"/>
        <v>99</v>
      </c>
      <c r="X77">
        <f t="shared" si="21"/>
        <v>106</v>
      </c>
      <c r="Y77">
        <f t="shared" si="22"/>
        <v>50</v>
      </c>
      <c r="Z77" t="str">
        <f t="shared" si="23"/>
        <v>Not Eligible</v>
      </c>
      <c r="AA77" t="str">
        <f t="shared" si="24"/>
        <v>Normal Order</v>
      </c>
      <c r="AB77" t="str">
        <f t="shared" si="25"/>
        <v/>
      </c>
    </row>
    <row r="78" spans="1:28">
      <c r="A78" s="5">
        <v>10077</v>
      </c>
      <c r="B78" s="5">
        <v>1366</v>
      </c>
      <c r="C78" s="6">
        <v>45034</v>
      </c>
      <c r="D78" s="6">
        <v>45034</v>
      </c>
      <c r="E78" s="5" t="s">
        <v>88</v>
      </c>
      <c r="F78" s="5" t="s">
        <v>127</v>
      </c>
      <c r="G78" s="5" t="s">
        <v>96</v>
      </c>
      <c r="H78" s="5" t="s">
        <v>91</v>
      </c>
      <c r="I78" s="5" t="s">
        <v>97</v>
      </c>
      <c r="J78" s="5" t="s">
        <v>98</v>
      </c>
      <c r="K78" s="5" t="s">
        <v>111</v>
      </c>
      <c r="L78" s="5">
        <v>3</v>
      </c>
      <c r="M78" s="5">
        <v>985.28</v>
      </c>
      <c r="N78" s="5">
        <v>10</v>
      </c>
      <c r="O78" s="5">
        <v>2660.26</v>
      </c>
      <c r="P78">
        <f t="shared" si="13"/>
        <v>2955.84</v>
      </c>
      <c r="Q78">
        <f t="shared" si="14"/>
        <v>295.584</v>
      </c>
      <c r="R78">
        <f t="shared" si="15"/>
        <v>2660.256</v>
      </c>
      <c r="S78" t="str">
        <f t="shared" si="16"/>
        <v>Low</v>
      </c>
      <c r="T78" t="str">
        <f t="shared" si="17"/>
        <v>Low</v>
      </c>
      <c r="U78" t="str">
        <f t="shared" si="18"/>
        <v>Heavy Discount</v>
      </c>
      <c r="V78" t="str">
        <f t="shared" si="19"/>
        <v>Average</v>
      </c>
      <c r="W78">
        <f t="shared" si="20"/>
        <v>99</v>
      </c>
      <c r="X78">
        <f t="shared" si="21"/>
        <v>106</v>
      </c>
      <c r="Y78">
        <f t="shared" si="22"/>
        <v>50</v>
      </c>
      <c r="Z78" t="str">
        <f t="shared" si="23"/>
        <v>Not Eligible</v>
      </c>
      <c r="AA78" t="str">
        <f t="shared" si="24"/>
        <v>Normal Order</v>
      </c>
      <c r="AB78" t="str">
        <f t="shared" si="25"/>
        <v/>
      </c>
    </row>
    <row r="79" spans="1:28">
      <c r="A79" s="5">
        <v>10078</v>
      </c>
      <c r="B79" s="5">
        <v>1955</v>
      </c>
      <c r="C79" s="6">
        <v>45156</v>
      </c>
      <c r="D79" s="6">
        <v>45156</v>
      </c>
      <c r="E79" s="5" t="s">
        <v>106</v>
      </c>
      <c r="F79" s="5" t="s">
        <v>89</v>
      </c>
      <c r="G79" s="5" t="s">
        <v>90</v>
      </c>
      <c r="H79" s="5" t="s">
        <v>101</v>
      </c>
      <c r="I79" s="5" t="s">
        <v>123</v>
      </c>
      <c r="J79" s="5" t="s">
        <v>135</v>
      </c>
      <c r="K79" s="5" t="s">
        <v>94</v>
      </c>
      <c r="L79" s="5">
        <v>6</v>
      </c>
      <c r="M79" s="5">
        <v>1258.82</v>
      </c>
      <c r="N79" s="5">
        <v>15</v>
      </c>
      <c r="O79" s="5">
        <v>6419.98</v>
      </c>
      <c r="P79">
        <f t="shared" si="13"/>
        <v>7552.92</v>
      </c>
      <c r="Q79">
        <f t="shared" si="14"/>
        <v>1132.938</v>
      </c>
      <c r="R79">
        <f t="shared" si="15"/>
        <v>6419.982</v>
      </c>
      <c r="S79" t="str">
        <f t="shared" si="16"/>
        <v>High</v>
      </c>
      <c r="T79" t="str">
        <f t="shared" si="17"/>
        <v>High</v>
      </c>
      <c r="U79" t="str">
        <f t="shared" si="18"/>
        <v>Heavy Discount</v>
      </c>
      <c r="V79" t="str">
        <f t="shared" si="19"/>
        <v>Good</v>
      </c>
      <c r="W79">
        <f t="shared" si="20"/>
        <v>99</v>
      </c>
      <c r="X79">
        <f t="shared" si="21"/>
        <v>106</v>
      </c>
      <c r="Y79">
        <f t="shared" si="22"/>
        <v>50</v>
      </c>
      <c r="Z79" t="str">
        <f t="shared" si="23"/>
        <v>Not Eligible</v>
      </c>
      <c r="AA79" t="str">
        <f t="shared" si="24"/>
        <v>Prriority Order</v>
      </c>
      <c r="AB79" t="str">
        <f t="shared" si="25"/>
        <v>Online</v>
      </c>
    </row>
    <row r="80" spans="1:28">
      <c r="A80" s="5">
        <v>10079</v>
      </c>
      <c r="B80" s="5">
        <v>1454</v>
      </c>
      <c r="C80" s="6">
        <v>45254</v>
      </c>
      <c r="D80" s="6">
        <v>45254</v>
      </c>
      <c r="E80" s="5" t="s">
        <v>100</v>
      </c>
      <c r="F80" s="5" t="s">
        <v>82</v>
      </c>
      <c r="G80" s="5" t="s">
        <v>96</v>
      </c>
      <c r="H80" s="5" t="s">
        <v>101</v>
      </c>
      <c r="I80" s="5" t="s">
        <v>97</v>
      </c>
      <c r="J80" s="5" t="s">
        <v>98</v>
      </c>
      <c r="K80" s="5" t="s">
        <v>99</v>
      </c>
      <c r="L80" s="5">
        <v>5</v>
      </c>
      <c r="M80" s="5">
        <v>2291.86</v>
      </c>
      <c r="N80" s="5">
        <v>15</v>
      </c>
      <c r="O80" s="5">
        <v>9740.4</v>
      </c>
      <c r="P80">
        <f t="shared" si="13"/>
        <v>11459.3</v>
      </c>
      <c r="Q80">
        <f t="shared" si="14"/>
        <v>1718.895</v>
      </c>
      <c r="R80">
        <f t="shared" si="15"/>
        <v>9740.405</v>
      </c>
      <c r="S80" t="str">
        <f t="shared" si="16"/>
        <v>High</v>
      </c>
      <c r="T80" t="str">
        <f t="shared" si="17"/>
        <v>Medium</v>
      </c>
      <c r="U80" t="str">
        <f t="shared" si="18"/>
        <v>Heavy Discount</v>
      </c>
      <c r="V80" t="str">
        <f t="shared" si="19"/>
        <v>Excellent Sales</v>
      </c>
      <c r="W80">
        <f t="shared" si="20"/>
        <v>99</v>
      </c>
      <c r="X80">
        <f t="shared" si="21"/>
        <v>106</v>
      </c>
      <c r="Y80">
        <f t="shared" si="22"/>
        <v>50</v>
      </c>
      <c r="Z80" t="str">
        <f t="shared" si="23"/>
        <v>Not Eligible</v>
      </c>
      <c r="AA80" t="str">
        <f t="shared" si="24"/>
        <v>Prriority Order</v>
      </c>
      <c r="AB80" t="str">
        <f t="shared" si="25"/>
        <v/>
      </c>
    </row>
    <row r="81" spans="1:28">
      <c r="A81" s="5">
        <v>10080</v>
      </c>
      <c r="B81" s="5">
        <v>1427</v>
      </c>
      <c r="C81" s="6">
        <v>45293</v>
      </c>
      <c r="D81" s="6">
        <v>45293</v>
      </c>
      <c r="E81" s="5" t="s">
        <v>81</v>
      </c>
      <c r="F81" s="5" t="s">
        <v>127</v>
      </c>
      <c r="G81" s="5" t="s">
        <v>83</v>
      </c>
      <c r="H81" s="5" t="s">
        <v>91</v>
      </c>
      <c r="I81" s="5" t="s">
        <v>123</v>
      </c>
      <c r="J81" s="5" t="s">
        <v>131</v>
      </c>
      <c r="K81" s="5" t="s">
        <v>94</v>
      </c>
      <c r="L81" s="5">
        <v>3</v>
      </c>
      <c r="M81" s="5">
        <v>262.25</v>
      </c>
      <c r="N81" s="5">
        <v>10</v>
      </c>
      <c r="O81" s="5">
        <v>708.07</v>
      </c>
      <c r="P81">
        <f t="shared" si="13"/>
        <v>786.75</v>
      </c>
      <c r="Q81">
        <f t="shared" si="14"/>
        <v>78.675</v>
      </c>
      <c r="R81">
        <f t="shared" si="15"/>
        <v>708.075</v>
      </c>
      <c r="S81" t="str">
        <f t="shared" si="16"/>
        <v>Low</v>
      </c>
      <c r="T81" t="str">
        <f t="shared" si="17"/>
        <v>Low</v>
      </c>
      <c r="U81" t="str">
        <f t="shared" si="18"/>
        <v>Heavy Discount</v>
      </c>
      <c r="V81" t="str">
        <f t="shared" si="19"/>
        <v>Average</v>
      </c>
      <c r="W81">
        <f t="shared" si="20"/>
        <v>99</v>
      </c>
      <c r="X81">
        <f t="shared" si="21"/>
        <v>106</v>
      </c>
      <c r="Y81">
        <f t="shared" si="22"/>
        <v>50</v>
      </c>
      <c r="Z81" t="str">
        <f t="shared" si="23"/>
        <v>Not Eligible</v>
      </c>
      <c r="AA81" t="str">
        <f t="shared" si="24"/>
        <v>Normal Order</v>
      </c>
      <c r="AB81" t="str">
        <f t="shared" si="25"/>
        <v>Online</v>
      </c>
    </row>
    <row r="82" spans="1:28">
      <c r="A82" s="5">
        <v>10081</v>
      </c>
      <c r="B82" s="5">
        <v>1508</v>
      </c>
      <c r="C82" s="6">
        <v>45283</v>
      </c>
      <c r="D82" s="6">
        <v>45283</v>
      </c>
      <c r="E82" s="5" t="s">
        <v>112</v>
      </c>
      <c r="F82" s="5" t="s">
        <v>82</v>
      </c>
      <c r="G82" s="5" t="s">
        <v>96</v>
      </c>
      <c r="H82" s="5" t="s">
        <v>84</v>
      </c>
      <c r="I82" s="5" t="s">
        <v>92</v>
      </c>
      <c r="J82" s="5" t="s">
        <v>93</v>
      </c>
      <c r="K82" s="5" t="s">
        <v>113</v>
      </c>
      <c r="L82" s="5">
        <v>6</v>
      </c>
      <c r="M82" s="5">
        <v>3642.91</v>
      </c>
      <c r="N82" s="5">
        <v>0</v>
      </c>
      <c r="O82" s="5">
        <v>21857.46</v>
      </c>
      <c r="P82">
        <f t="shared" si="13"/>
        <v>21857.46</v>
      </c>
      <c r="Q82">
        <f t="shared" si="14"/>
        <v>0</v>
      </c>
      <c r="R82">
        <f t="shared" si="15"/>
        <v>21857.46</v>
      </c>
      <c r="S82" t="str">
        <f t="shared" si="16"/>
        <v>High</v>
      </c>
      <c r="T82" t="str">
        <f t="shared" si="17"/>
        <v>High</v>
      </c>
      <c r="U82" t="str">
        <f t="shared" si="18"/>
        <v>Normal Discount</v>
      </c>
      <c r="V82" t="str">
        <f t="shared" si="19"/>
        <v>Excellent Sales</v>
      </c>
      <c r="W82">
        <f t="shared" si="20"/>
        <v>99</v>
      </c>
      <c r="X82">
        <f t="shared" si="21"/>
        <v>106</v>
      </c>
      <c r="Y82">
        <f t="shared" si="22"/>
        <v>50</v>
      </c>
      <c r="Z82" t="str">
        <f t="shared" si="23"/>
        <v>Eligible</v>
      </c>
      <c r="AA82" t="str">
        <f t="shared" si="24"/>
        <v>Prriority Order</v>
      </c>
      <c r="AB82" t="str">
        <f t="shared" si="25"/>
        <v/>
      </c>
    </row>
    <row r="83" spans="1:28">
      <c r="A83" s="5">
        <v>10082</v>
      </c>
      <c r="B83" s="5">
        <v>1775</v>
      </c>
      <c r="C83" s="6">
        <v>44942</v>
      </c>
      <c r="D83" s="6">
        <v>44942</v>
      </c>
      <c r="E83" s="5" t="s">
        <v>112</v>
      </c>
      <c r="F83" s="5" t="s">
        <v>104</v>
      </c>
      <c r="G83" s="5" t="s">
        <v>90</v>
      </c>
      <c r="H83" s="5" t="s">
        <v>108</v>
      </c>
      <c r="I83" s="5" t="s">
        <v>115</v>
      </c>
      <c r="J83" s="5" t="s">
        <v>138</v>
      </c>
      <c r="K83" s="5" t="s">
        <v>113</v>
      </c>
      <c r="L83" s="5">
        <v>6</v>
      </c>
      <c r="M83" s="5">
        <v>751.69</v>
      </c>
      <c r="N83" s="5">
        <v>0</v>
      </c>
      <c r="O83" s="5">
        <v>4510.14</v>
      </c>
      <c r="P83">
        <f t="shared" si="13"/>
        <v>4510.14</v>
      </c>
      <c r="Q83">
        <f t="shared" si="14"/>
        <v>0</v>
      </c>
      <c r="R83">
        <f t="shared" si="15"/>
        <v>4510.14</v>
      </c>
      <c r="S83" t="str">
        <f t="shared" si="16"/>
        <v>High</v>
      </c>
      <c r="T83" t="str">
        <f t="shared" si="17"/>
        <v>High</v>
      </c>
      <c r="U83" t="str">
        <f t="shared" si="18"/>
        <v>Normal Discount</v>
      </c>
      <c r="V83" t="str">
        <f t="shared" si="19"/>
        <v>Good</v>
      </c>
      <c r="W83">
        <f t="shared" si="20"/>
        <v>99</v>
      </c>
      <c r="X83">
        <f t="shared" si="21"/>
        <v>106</v>
      </c>
      <c r="Y83">
        <f t="shared" si="22"/>
        <v>50</v>
      </c>
      <c r="Z83" t="str">
        <f t="shared" si="23"/>
        <v>Eligible</v>
      </c>
      <c r="AA83" t="str">
        <f t="shared" si="24"/>
        <v>Prriority Order</v>
      </c>
      <c r="AB83" t="str">
        <f t="shared" si="25"/>
        <v>Online</v>
      </c>
    </row>
    <row r="84" spans="1:28">
      <c r="A84" s="5">
        <v>10083</v>
      </c>
      <c r="B84" s="5">
        <v>1942</v>
      </c>
      <c r="C84" s="6">
        <v>45232</v>
      </c>
      <c r="D84" s="6">
        <v>45232</v>
      </c>
      <c r="E84" s="5" t="s">
        <v>103</v>
      </c>
      <c r="F84" s="5" t="s">
        <v>89</v>
      </c>
      <c r="G84" s="5" t="s">
        <v>83</v>
      </c>
      <c r="H84" s="5" t="s">
        <v>91</v>
      </c>
      <c r="I84" s="5" t="s">
        <v>132</v>
      </c>
      <c r="J84" s="5" t="s">
        <v>137</v>
      </c>
      <c r="K84" s="5" t="s">
        <v>87</v>
      </c>
      <c r="L84" s="5">
        <v>8</v>
      </c>
      <c r="M84" s="5">
        <v>997.34</v>
      </c>
      <c r="N84" s="5">
        <v>5</v>
      </c>
      <c r="O84" s="5">
        <v>7579.78</v>
      </c>
      <c r="P84">
        <f t="shared" si="13"/>
        <v>7978.72</v>
      </c>
      <c r="Q84">
        <f t="shared" si="14"/>
        <v>398.936</v>
      </c>
      <c r="R84">
        <f t="shared" si="15"/>
        <v>7579.784</v>
      </c>
      <c r="S84" t="str">
        <f t="shared" si="16"/>
        <v>High</v>
      </c>
      <c r="T84" t="str">
        <f t="shared" si="17"/>
        <v>High</v>
      </c>
      <c r="U84" t="str">
        <f t="shared" si="18"/>
        <v>Heavy Discount</v>
      </c>
      <c r="V84" t="str">
        <f t="shared" si="19"/>
        <v>Excellent Sales</v>
      </c>
      <c r="W84">
        <f t="shared" si="20"/>
        <v>99</v>
      </c>
      <c r="X84">
        <f t="shared" si="21"/>
        <v>106</v>
      </c>
      <c r="Y84">
        <f t="shared" si="22"/>
        <v>49</v>
      </c>
      <c r="Z84" t="str">
        <f t="shared" si="23"/>
        <v>Not Eligible</v>
      </c>
      <c r="AA84" t="str">
        <f t="shared" si="24"/>
        <v>Prriority Order</v>
      </c>
      <c r="AB84" t="str">
        <f t="shared" si="25"/>
        <v>Online</v>
      </c>
    </row>
    <row r="85" spans="1:28">
      <c r="A85" s="5">
        <v>10084</v>
      </c>
      <c r="B85" s="5">
        <v>1034</v>
      </c>
      <c r="C85" s="6">
        <v>45166</v>
      </c>
      <c r="D85" s="6">
        <v>45166</v>
      </c>
      <c r="E85" s="5" t="s">
        <v>106</v>
      </c>
      <c r="F85" s="5" t="s">
        <v>95</v>
      </c>
      <c r="G85" s="5" t="s">
        <v>96</v>
      </c>
      <c r="H85" s="5" t="s">
        <v>110</v>
      </c>
      <c r="I85" s="5" t="s">
        <v>123</v>
      </c>
      <c r="J85" s="5" t="s">
        <v>131</v>
      </c>
      <c r="K85" s="5" t="s">
        <v>99</v>
      </c>
      <c r="L85" s="5">
        <v>2</v>
      </c>
      <c r="M85" s="5">
        <v>2145.36</v>
      </c>
      <c r="N85" s="5">
        <v>20</v>
      </c>
      <c r="O85" s="5">
        <v>3432.58</v>
      </c>
      <c r="P85">
        <f t="shared" si="13"/>
        <v>4290.72</v>
      </c>
      <c r="Q85">
        <f t="shared" si="14"/>
        <v>858.144</v>
      </c>
      <c r="R85">
        <f t="shared" si="15"/>
        <v>3432.576</v>
      </c>
      <c r="S85" t="str">
        <f t="shared" si="16"/>
        <v>Low</v>
      </c>
      <c r="T85" t="str">
        <f t="shared" si="17"/>
        <v>Low</v>
      </c>
      <c r="U85" t="str">
        <f t="shared" si="18"/>
        <v>Heavy Discount</v>
      </c>
      <c r="V85" t="str">
        <f t="shared" si="19"/>
        <v>Average</v>
      </c>
      <c r="W85">
        <f t="shared" si="20"/>
        <v>99</v>
      </c>
      <c r="X85">
        <f t="shared" si="21"/>
        <v>106</v>
      </c>
      <c r="Y85">
        <f t="shared" si="22"/>
        <v>49</v>
      </c>
      <c r="Z85" t="str">
        <f t="shared" si="23"/>
        <v>Not Eligible</v>
      </c>
      <c r="AA85" t="str">
        <f t="shared" si="24"/>
        <v>Normal Order</v>
      </c>
      <c r="AB85" t="str">
        <f t="shared" si="25"/>
        <v/>
      </c>
    </row>
    <row r="86" spans="1:28">
      <c r="A86" s="5">
        <v>10085</v>
      </c>
      <c r="B86" s="5">
        <v>1205</v>
      </c>
      <c r="C86" s="6">
        <v>45148</v>
      </c>
      <c r="D86" s="6">
        <v>45148</v>
      </c>
      <c r="E86" s="5" t="s">
        <v>112</v>
      </c>
      <c r="F86" s="5" t="s">
        <v>82</v>
      </c>
      <c r="G86" s="5" t="s">
        <v>96</v>
      </c>
      <c r="H86" s="5" t="s">
        <v>84</v>
      </c>
      <c r="I86" s="5" t="s">
        <v>115</v>
      </c>
      <c r="J86" s="5" t="s">
        <v>116</v>
      </c>
      <c r="K86" s="5" t="s">
        <v>94</v>
      </c>
      <c r="L86" s="5">
        <v>1</v>
      </c>
      <c r="M86" s="5">
        <v>2883.94</v>
      </c>
      <c r="N86" s="5">
        <v>20</v>
      </c>
      <c r="O86" s="5">
        <v>2307.15</v>
      </c>
      <c r="P86">
        <f t="shared" si="13"/>
        <v>2883.94</v>
      </c>
      <c r="Q86">
        <f t="shared" si="14"/>
        <v>576.788</v>
      </c>
      <c r="R86">
        <f t="shared" si="15"/>
        <v>2307.152</v>
      </c>
      <c r="S86" t="str">
        <f t="shared" si="16"/>
        <v>Low</v>
      </c>
      <c r="T86" t="str">
        <f t="shared" si="17"/>
        <v>Low</v>
      </c>
      <c r="U86" t="str">
        <f t="shared" si="18"/>
        <v>Heavy Discount</v>
      </c>
      <c r="V86" t="str">
        <f t="shared" si="19"/>
        <v>Average</v>
      </c>
      <c r="W86">
        <f t="shared" si="20"/>
        <v>99</v>
      </c>
      <c r="X86">
        <f t="shared" si="21"/>
        <v>106</v>
      </c>
      <c r="Y86">
        <f t="shared" si="22"/>
        <v>49</v>
      </c>
      <c r="Z86" t="str">
        <f t="shared" si="23"/>
        <v>Not Eligible</v>
      </c>
      <c r="AA86" t="str">
        <f t="shared" si="24"/>
        <v>Normal Order</v>
      </c>
      <c r="AB86" t="str">
        <f t="shared" si="25"/>
        <v/>
      </c>
    </row>
    <row r="87" spans="1:28">
      <c r="A87" s="5">
        <v>10086</v>
      </c>
      <c r="B87" s="5">
        <v>1080</v>
      </c>
      <c r="C87" s="6">
        <v>44996</v>
      </c>
      <c r="D87" s="6">
        <v>44996</v>
      </c>
      <c r="E87" s="5" t="s">
        <v>100</v>
      </c>
      <c r="F87" s="5" t="s">
        <v>104</v>
      </c>
      <c r="G87" s="5" t="s">
        <v>96</v>
      </c>
      <c r="H87" s="5" t="s">
        <v>110</v>
      </c>
      <c r="I87" s="5" t="s">
        <v>97</v>
      </c>
      <c r="J87" s="5" t="s">
        <v>140</v>
      </c>
      <c r="K87" s="5" t="s">
        <v>111</v>
      </c>
      <c r="L87" s="5">
        <v>4</v>
      </c>
      <c r="M87" s="5">
        <v>518.56</v>
      </c>
      <c r="N87" s="5">
        <v>20</v>
      </c>
      <c r="O87" s="5">
        <v>1659.39</v>
      </c>
      <c r="P87">
        <f t="shared" si="13"/>
        <v>2074.24</v>
      </c>
      <c r="Q87">
        <f t="shared" si="14"/>
        <v>414.848</v>
      </c>
      <c r="R87">
        <f t="shared" si="15"/>
        <v>1659.392</v>
      </c>
      <c r="S87" t="str">
        <f t="shared" si="16"/>
        <v>Low</v>
      </c>
      <c r="T87" t="str">
        <f t="shared" si="17"/>
        <v>Low</v>
      </c>
      <c r="U87" t="str">
        <f t="shared" si="18"/>
        <v>Heavy Discount</v>
      </c>
      <c r="V87" t="str">
        <f t="shared" si="19"/>
        <v>Average</v>
      </c>
      <c r="W87">
        <f t="shared" si="20"/>
        <v>99</v>
      </c>
      <c r="X87">
        <f t="shared" si="21"/>
        <v>106</v>
      </c>
      <c r="Y87">
        <f t="shared" si="22"/>
        <v>49</v>
      </c>
      <c r="Z87" t="str">
        <f t="shared" si="23"/>
        <v>Not Eligible</v>
      </c>
      <c r="AA87" t="str">
        <f t="shared" si="24"/>
        <v>Normal Order</v>
      </c>
      <c r="AB87" t="str">
        <f t="shared" si="25"/>
        <v/>
      </c>
    </row>
    <row r="88" spans="1:28">
      <c r="A88" s="5">
        <v>10087</v>
      </c>
      <c r="B88" s="5">
        <v>1931</v>
      </c>
      <c r="C88" s="6">
        <v>45045</v>
      </c>
      <c r="D88" s="6">
        <v>45045</v>
      </c>
      <c r="E88" s="5" t="s">
        <v>106</v>
      </c>
      <c r="F88" s="5" t="s">
        <v>95</v>
      </c>
      <c r="G88" s="5" t="s">
        <v>83</v>
      </c>
      <c r="H88" s="5" t="s">
        <v>84</v>
      </c>
      <c r="I88" s="5" t="s">
        <v>97</v>
      </c>
      <c r="J88" s="5" t="s">
        <v>105</v>
      </c>
      <c r="K88" s="5" t="s">
        <v>113</v>
      </c>
      <c r="L88" s="5">
        <v>7</v>
      </c>
      <c r="M88" s="5">
        <v>1373.12</v>
      </c>
      <c r="N88" s="5">
        <v>5</v>
      </c>
      <c r="O88" s="5">
        <v>9131.25</v>
      </c>
      <c r="P88">
        <f t="shared" si="13"/>
        <v>9611.84</v>
      </c>
      <c r="Q88">
        <f t="shared" si="14"/>
        <v>480.592</v>
      </c>
      <c r="R88">
        <f t="shared" si="15"/>
        <v>9131.248</v>
      </c>
      <c r="S88" t="str">
        <f t="shared" si="16"/>
        <v>High</v>
      </c>
      <c r="T88" t="str">
        <f t="shared" si="17"/>
        <v>High</v>
      </c>
      <c r="U88" t="str">
        <f t="shared" si="18"/>
        <v>Heavy Discount</v>
      </c>
      <c r="V88" t="str">
        <f t="shared" si="19"/>
        <v>Excellent Sales</v>
      </c>
      <c r="W88">
        <f t="shared" si="20"/>
        <v>99</v>
      </c>
      <c r="X88">
        <f t="shared" si="21"/>
        <v>106</v>
      </c>
      <c r="Y88">
        <f t="shared" si="22"/>
        <v>49</v>
      </c>
      <c r="Z88" t="str">
        <f t="shared" si="23"/>
        <v>Not Eligible</v>
      </c>
      <c r="AA88" t="str">
        <f t="shared" si="24"/>
        <v>Prriority Order</v>
      </c>
      <c r="AB88" t="str">
        <f t="shared" si="25"/>
        <v>Online</v>
      </c>
    </row>
    <row r="89" spans="1:28">
      <c r="A89" s="5">
        <v>10088</v>
      </c>
      <c r="B89" s="5">
        <v>1561</v>
      </c>
      <c r="C89" s="6">
        <v>44946</v>
      </c>
      <c r="D89" s="6">
        <v>44946</v>
      </c>
      <c r="E89" s="5" t="s">
        <v>100</v>
      </c>
      <c r="F89" s="5" t="s">
        <v>95</v>
      </c>
      <c r="G89" s="5" t="s">
        <v>83</v>
      </c>
      <c r="H89" s="5" t="s">
        <v>108</v>
      </c>
      <c r="I89" s="5" t="s">
        <v>115</v>
      </c>
      <c r="J89" s="5" t="s">
        <v>138</v>
      </c>
      <c r="K89" s="5" t="s">
        <v>113</v>
      </c>
      <c r="L89" s="5">
        <v>3</v>
      </c>
      <c r="M89" s="5">
        <v>3879.4</v>
      </c>
      <c r="N89" s="5">
        <v>20</v>
      </c>
      <c r="O89" s="5">
        <v>9310.56</v>
      </c>
      <c r="P89">
        <f t="shared" si="13"/>
        <v>11638.2</v>
      </c>
      <c r="Q89">
        <f t="shared" si="14"/>
        <v>2327.64</v>
      </c>
      <c r="R89">
        <f t="shared" si="15"/>
        <v>9310.56</v>
      </c>
      <c r="S89" t="str">
        <f t="shared" si="16"/>
        <v>Low</v>
      </c>
      <c r="T89" t="str">
        <f t="shared" si="17"/>
        <v>Low</v>
      </c>
      <c r="U89" t="str">
        <f t="shared" si="18"/>
        <v>Heavy Discount</v>
      </c>
      <c r="V89" t="str">
        <f t="shared" si="19"/>
        <v>Excellent Sales</v>
      </c>
      <c r="W89">
        <f t="shared" si="20"/>
        <v>99</v>
      </c>
      <c r="X89">
        <f t="shared" si="21"/>
        <v>106</v>
      </c>
      <c r="Y89">
        <f t="shared" si="22"/>
        <v>49</v>
      </c>
      <c r="Z89" t="str">
        <f t="shared" si="23"/>
        <v>Not Eligible</v>
      </c>
      <c r="AA89" t="str">
        <f t="shared" si="24"/>
        <v>Prriority Order</v>
      </c>
      <c r="AB89" t="str">
        <f t="shared" si="25"/>
        <v>Online</v>
      </c>
    </row>
    <row r="90" spans="1:28">
      <c r="A90" s="5">
        <v>10089</v>
      </c>
      <c r="B90" s="5">
        <v>1871</v>
      </c>
      <c r="C90" s="6">
        <v>45016</v>
      </c>
      <c r="D90" s="6">
        <v>45016</v>
      </c>
      <c r="E90" s="5" t="s">
        <v>112</v>
      </c>
      <c r="F90" s="5" t="s">
        <v>82</v>
      </c>
      <c r="G90" s="5" t="s">
        <v>90</v>
      </c>
      <c r="H90" s="5" t="s">
        <v>108</v>
      </c>
      <c r="I90" s="5" t="s">
        <v>97</v>
      </c>
      <c r="J90" s="5" t="s">
        <v>114</v>
      </c>
      <c r="K90" s="5" t="s">
        <v>111</v>
      </c>
      <c r="L90" s="5">
        <v>3</v>
      </c>
      <c r="M90" s="5">
        <v>1160.02</v>
      </c>
      <c r="N90" s="5">
        <v>10</v>
      </c>
      <c r="O90" s="5">
        <v>3132.05</v>
      </c>
      <c r="P90">
        <f t="shared" si="13"/>
        <v>3480.06</v>
      </c>
      <c r="Q90">
        <f t="shared" si="14"/>
        <v>348.006</v>
      </c>
      <c r="R90">
        <f t="shared" si="15"/>
        <v>3132.054</v>
      </c>
      <c r="S90" t="str">
        <f t="shared" si="16"/>
        <v>Low</v>
      </c>
      <c r="T90" t="str">
        <f t="shared" si="17"/>
        <v>Low</v>
      </c>
      <c r="U90" t="str">
        <f t="shared" si="18"/>
        <v>Heavy Discount</v>
      </c>
      <c r="V90" t="str">
        <f t="shared" si="19"/>
        <v>Average</v>
      </c>
      <c r="W90">
        <f t="shared" si="20"/>
        <v>99</v>
      </c>
      <c r="X90">
        <f t="shared" si="21"/>
        <v>106</v>
      </c>
      <c r="Y90">
        <f t="shared" si="22"/>
        <v>48</v>
      </c>
      <c r="Z90" t="str">
        <f t="shared" si="23"/>
        <v>Not Eligible</v>
      </c>
      <c r="AA90" t="str">
        <f t="shared" si="24"/>
        <v>Normal Order</v>
      </c>
      <c r="AB90" t="str">
        <f t="shared" si="25"/>
        <v>Online</v>
      </c>
    </row>
    <row r="91" spans="1:28">
      <c r="A91" s="5">
        <v>10090</v>
      </c>
      <c r="B91" s="5">
        <v>1387</v>
      </c>
      <c r="C91" s="6">
        <v>45166</v>
      </c>
      <c r="D91" s="6">
        <v>45166</v>
      </c>
      <c r="E91" s="5" t="s">
        <v>112</v>
      </c>
      <c r="F91" s="5" t="s">
        <v>127</v>
      </c>
      <c r="G91" s="5" t="s">
        <v>83</v>
      </c>
      <c r="H91" s="5" t="s">
        <v>101</v>
      </c>
      <c r="I91" s="5" t="s">
        <v>92</v>
      </c>
      <c r="J91" s="5" t="s">
        <v>93</v>
      </c>
      <c r="K91" s="5" t="s">
        <v>94</v>
      </c>
      <c r="L91" s="5">
        <v>5</v>
      </c>
      <c r="M91" s="5">
        <v>1355.24</v>
      </c>
      <c r="N91" s="5">
        <v>5</v>
      </c>
      <c r="O91" s="5">
        <v>6437.39</v>
      </c>
      <c r="P91">
        <f t="shared" si="13"/>
        <v>6776.2</v>
      </c>
      <c r="Q91">
        <f t="shared" si="14"/>
        <v>338.81</v>
      </c>
      <c r="R91">
        <f t="shared" si="15"/>
        <v>6437.39</v>
      </c>
      <c r="S91" t="str">
        <f t="shared" si="16"/>
        <v>High</v>
      </c>
      <c r="T91" t="str">
        <f t="shared" si="17"/>
        <v>Medium</v>
      </c>
      <c r="U91" t="str">
        <f t="shared" si="18"/>
        <v>Heavy Discount</v>
      </c>
      <c r="V91" t="str">
        <f t="shared" si="19"/>
        <v>Good</v>
      </c>
      <c r="W91">
        <f t="shared" si="20"/>
        <v>99</v>
      </c>
      <c r="X91">
        <f t="shared" si="21"/>
        <v>106</v>
      </c>
      <c r="Y91">
        <f t="shared" si="22"/>
        <v>48</v>
      </c>
      <c r="Z91" t="str">
        <f t="shared" si="23"/>
        <v>Not Eligible</v>
      </c>
      <c r="AA91" t="str">
        <f t="shared" si="24"/>
        <v>Normal Order</v>
      </c>
      <c r="AB91" t="str">
        <f t="shared" si="25"/>
        <v>Online</v>
      </c>
    </row>
    <row r="92" spans="1:28">
      <c r="A92" s="5">
        <v>10091</v>
      </c>
      <c r="B92" s="5">
        <v>1001</v>
      </c>
      <c r="C92" s="6">
        <v>45019</v>
      </c>
      <c r="D92" s="6">
        <v>45019</v>
      </c>
      <c r="E92" s="5" t="s">
        <v>103</v>
      </c>
      <c r="F92" s="5" t="s">
        <v>82</v>
      </c>
      <c r="G92" s="5" t="s">
        <v>83</v>
      </c>
      <c r="H92" s="5" t="s">
        <v>110</v>
      </c>
      <c r="I92" s="5" t="s">
        <v>92</v>
      </c>
      <c r="J92" s="5" t="s">
        <v>93</v>
      </c>
      <c r="K92" s="5" t="s">
        <v>94</v>
      </c>
      <c r="L92" s="5">
        <v>5</v>
      </c>
      <c r="M92" s="5">
        <v>3370.52</v>
      </c>
      <c r="N92" s="5">
        <v>10</v>
      </c>
      <c r="O92" s="5">
        <v>15167.34</v>
      </c>
      <c r="P92">
        <f t="shared" si="13"/>
        <v>16852.6</v>
      </c>
      <c r="Q92">
        <f t="shared" si="14"/>
        <v>1685.26</v>
      </c>
      <c r="R92">
        <f t="shared" si="15"/>
        <v>15167.34</v>
      </c>
      <c r="S92" t="str">
        <f t="shared" si="16"/>
        <v>High</v>
      </c>
      <c r="T92" t="str">
        <f t="shared" si="17"/>
        <v>Medium</v>
      </c>
      <c r="U92" t="str">
        <f t="shared" si="18"/>
        <v>Heavy Discount</v>
      </c>
      <c r="V92" t="str">
        <f t="shared" si="19"/>
        <v>Excellent Sales</v>
      </c>
      <c r="W92">
        <f t="shared" si="20"/>
        <v>99</v>
      </c>
      <c r="X92">
        <f t="shared" si="21"/>
        <v>106</v>
      </c>
      <c r="Y92">
        <f t="shared" si="22"/>
        <v>48</v>
      </c>
      <c r="Z92" t="str">
        <f t="shared" si="23"/>
        <v>Not Eligible</v>
      </c>
      <c r="AA92" t="str">
        <f t="shared" si="24"/>
        <v>Prriority Order</v>
      </c>
      <c r="AB92" t="str">
        <f t="shared" si="25"/>
        <v>Online</v>
      </c>
    </row>
    <row r="93" spans="1:28">
      <c r="A93" s="5">
        <v>10092</v>
      </c>
      <c r="B93" s="5">
        <v>1389</v>
      </c>
      <c r="C93" s="6">
        <v>45246</v>
      </c>
      <c r="D93" s="6">
        <v>45246</v>
      </c>
      <c r="E93" s="5" t="s">
        <v>112</v>
      </c>
      <c r="F93" s="5" t="s">
        <v>104</v>
      </c>
      <c r="G93" s="5" t="s">
        <v>96</v>
      </c>
      <c r="H93" s="5" t="s">
        <v>84</v>
      </c>
      <c r="I93" s="5" t="s">
        <v>115</v>
      </c>
      <c r="J93" s="5" t="s">
        <v>116</v>
      </c>
      <c r="K93" s="5" t="s">
        <v>99</v>
      </c>
      <c r="L93" s="5">
        <v>3</v>
      </c>
      <c r="M93" s="5">
        <v>343.33</v>
      </c>
      <c r="N93" s="5">
        <v>5</v>
      </c>
      <c r="O93" s="5">
        <v>978.49</v>
      </c>
      <c r="P93">
        <f t="shared" si="13"/>
        <v>1029.99</v>
      </c>
      <c r="Q93">
        <f t="shared" si="14"/>
        <v>51.4995</v>
      </c>
      <c r="R93">
        <f t="shared" si="15"/>
        <v>978.4905</v>
      </c>
      <c r="S93" t="str">
        <f t="shared" si="16"/>
        <v>Low</v>
      </c>
      <c r="T93" t="str">
        <f t="shared" si="17"/>
        <v>Low</v>
      </c>
      <c r="U93" t="str">
        <f t="shared" si="18"/>
        <v>Heavy Discount</v>
      </c>
      <c r="V93" t="str">
        <f t="shared" si="19"/>
        <v>Average</v>
      </c>
      <c r="W93">
        <f t="shared" si="20"/>
        <v>99</v>
      </c>
      <c r="X93">
        <f t="shared" si="21"/>
        <v>106</v>
      </c>
      <c r="Y93">
        <f t="shared" si="22"/>
        <v>48</v>
      </c>
      <c r="Z93" t="str">
        <f t="shared" si="23"/>
        <v>Not Eligible</v>
      </c>
      <c r="AA93" t="str">
        <f t="shared" si="24"/>
        <v>Normal Order</v>
      </c>
      <c r="AB93" t="str">
        <f t="shared" si="25"/>
        <v/>
      </c>
    </row>
    <row r="94" spans="1:28">
      <c r="A94" s="5">
        <v>10093</v>
      </c>
      <c r="B94" s="5">
        <v>1565</v>
      </c>
      <c r="C94" s="6">
        <v>44982</v>
      </c>
      <c r="D94" s="6">
        <v>44982</v>
      </c>
      <c r="E94" s="5" t="s">
        <v>106</v>
      </c>
      <c r="F94" s="5" t="s">
        <v>95</v>
      </c>
      <c r="G94" s="5" t="s">
        <v>83</v>
      </c>
      <c r="H94" s="5" t="s">
        <v>108</v>
      </c>
      <c r="I94" s="5" t="s">
        <v>123</v>
      </c>
      <c r="J94" s="5" t="s">
        <v>131</v>
      </c>
      <c r="K94" s="5" t="s">
        <v>99</v>
      </c>
      <c r="L94" s="5">
        <v>9</v>
      </c>
      <c r="M94" s="5">
        <v>1938.76</v>
      </c>
      <c r="N94" s="5">
        <v>20</v>
      </c>
      <c r="O94" s="5">
        <v>13959.07</v>
      </c>
      <c r="P94">
        <f t="shared" si="13"/>
        <v>17448.84</v>
      </c>
      <c r="Q94">
        <f t="shared" si="14"/>
        <v>3489.768</v>
      </c>
      <c r="R94">
        <f t="shared" si="15"/>
        <v>13959.072</v>
      </c>
      <c r="S94" t="str">
        <f t="shared" si="16"/>
        <v>High</v>
      </c>
      <c r="T94" t="str">
        <f t="shared" si="17"/>
        <v>High</v>
      </c>
      <c r="U94" t="str">
        <f t="shared" si="18"/>
        <v>Heavy Discount</v>
      </c>
      <c r="V94" t="str">
        <f t="shared" si="19"/>
        <v>Excellent Sales</v>
      </c>
      <c r="W94">
        <f t="shared" si="20"/>
        <v>99</v>
      </c>
      <c r="X94">
        <f t="shared" si="21"/>
        <v>106</v>
      </c>
      <c r="Y94">
        <f t="shared" si="22"/>
        <v>48</v>
      </c>
      <c r="Z94" t="str">
        <f t="shared" si="23"/>
        <v>Not Eligible</v>
      </c>
      <c r="AA94" t="str">
        <f t="shared" si="24"/>
        <v>Prriority Order</v>
      </c>
      <c r="AB94" t="str">
        <f t="shared" si="25"/>
        <v>Online</v>
      </c>
    </row>
    <row r="95" spans="1:28">
      <c r="A95" s="5">
        <v>10094</v>
      </c>
      <c r="B95" s="5">
        <v>1105</v>
      </c>
      <c r="C95" s="6">
        <v>44946</v>
      </c>
      <c r="D95" s="6">
        <v>44946</v>
      </c>
      <c r="E95" s="5" t="s">
        <v>88</v>
      </c>
      <c r="F95" s="5" t="s">
        <v>82</v>
      </c>
      <c r="G95" s="5" t="s">
        <v>96</v>
      </c>
      <c r="H95" s="5" t="s">
        <v>91</v>
      </c>
      <c r="I95" s="5" t="s">
        <v>123</v>
      </c>
      <c r="J95" s="5" t="s">
        <v>135</v>
      </c>
      <c r="K95" s="5" t="s">
        <v>87</v>
      </c>
      <c r="L95" s="5">
        <v>4</v>
      </c>
      <c r="M95" s="5">
        <v>1611.52</v>
      </c>
      <c r="N95" s="5">
        <v>10</v>
      </c>
      <c r="O95" s="5">
        <v>5801.47</v>
      </c>
      <c r="P95">
        <f t="shared" si="13"/>
        <v>6446.08</v>
      </c>
      <c r="Q95">
        <f t="shared" si="14"/>
        <v>644.608</v>
      </c>
      <c r="R95">
        <f t="shared" si="15"/>
        <v>5801.472</v>
      </c>
      <c r="S95" t="str">
        <f t="shared" si="16"/>
        <v>Low</v>
      </c>
      <c r="T95" t="str">
        <f t="shared" si="17"/>
        <v>Low</v>
      </c>
      <c r="U95" t="str">
        <f t="shared" si="18"/>
        <v>Heavy Discount</v>
      </c>
      <c r="V95" t="str">
        <f t="shared" si="19"/>
        <v>Good</v>
      </c>
      <c r="W95">
        <f t="shared" si="20"/>
        <v>99</v>
      </c>
      <c r="X95">
        <f t="shared" si="21"/>
        <v>106</v>
      </c>
      <c r="Y95">
        <f t="shared" si="22"/>
        <v>48</v>
      </c>
      <c r="Z95" t="str">
        <f t="shared" si="23"/>
        <v>Not Eligible</v>
      </c>
      <c r="AA95" t="str">
        <f t="shared" si="24"/>
        <v>Normal Order</v>
      </c>
      <c r="AB95" t="str">
        <f t="shared" si="25"/>
        <v/>
      </c>
    </row>
    <row r="96" spans="1:28">
      <c r="A96" s="5">
        <v>10095</v>
      </c>
      <c r="B96" s="5">
        <v>1771</v>
      </c>
      <c r="C96" s="6">
        <v>45137</v>
      </c>
      <c r="D96" s="6">
        <v>45137</v>
      </c>
      <c r="E96" s="5" t="s">
        <v>106</v>
      </c>
      <c r="F96" s="5" t="s">
        <v>127</v>
      </c>
      <c r="G96" s="5" t="s">
        <v>96</v>
      </c>
      <c r="H96" s="5" t="s">
        <v>108</v>
      </c>
      <c r="I96" s="5" t="s">
        <v>115</v>
      </c>
      <c r="J96" s="5" t="s">
        <v>116</v>
      </c>
      <c r="K96" s="5" t="s">
        <v>113</v>
      </c>
      <c r="L96" s="5">
        <v>3</v>
      </c>
      <c r="M96" s="5">
        <v>1368.86</v>
      </c>
      <c r="N96" s="5">
        <v>10</v>
      </c>
      <c r="O96" s="5">
        <v>3695.92</v>
      </c>
      <c r="P96">
        <f t="shared" si="13"/>
        <v>4106.58</v>
      </c>
      <c r="Q96">
        <f t="shared" si="14"/>
        <v>410.658</v>
      </c>
      <c r="R96">
        <f t="shared" si="15"/>
        <v>3695.922</v>
      </c>
      <c r="S96" t="str">
        <f t="shared" si="16"/>
        <v>Low</v>
      </c>
      <c r="T96" t="str">
        <f t="shared" si="17"/>
        <v>Low</v>
      </c>
      <c r="U96" t="str">
        <f t="shared" si="18"/>
        <v>Heavy Discount</v>
      </c>
      <c r="V96" t="str">
        <f t="shared" si="19"/>
        <v>Average</v>
      </c>
      <c r="W96">
        <f t="shared" si="20"/>
        <v>99</v>
      </c>
      <c r="X96">
        <f t="shared" si="21"/>
        <v>106</v>
      </c>
      <c r="Y96">
        <f t="shared" si="22"/>
        <v>48</v>
      </c>
      <c r="Z96" t="str">
        <f t="shared" si="23"/>
        <v>Not Eligible</v>
      </c>
      <c r="AA96" t="str">
        <f t="shared" si="24"/>
        <v>Normal Order</v>
      </c>
      <c r="AB96" t="str">
        <f t="shared" si="25"/>
        <v/>
      </c>
    </row>
    <row r="97" spans="1:28">
      <c r="A97" s="5">
        <v>10096</v>
      </c>
      <c r="B97" s="5">
        <v>1821</v>
      </c>
      <c r="C97" s="6">
        <v>44947</v>
      </c>
      <c r="D97" s="6">
        <v>44947</v>
      </c>
      <c r="E97" s="5" t="s">
        <v>106</v>
      </c>
      <c r="F97" s="5" t="s">
        <v>82</v>
      </c>
      <c r="G97" s="5" t="s">
        <v>83</v>
      </c>
      <c r="H97" s="5" t="s">
        <v>91</v>
      </c>
      <c r="I97" s="5" t="s">
        <v>123</v>
      </c>
      <c r="J97" s="5" t="s">
        <v>135</v>
      </c>
      <c r="K97" s="5" t="s">
        <v>99</v>
      </c>
      <c r="L97" s="5">
        <v>2</v>
      </c>
      <c r="M97" s="5">
        <v>1249.94</v>
      </c>
      <c r="N97" s="5">
        <v>10</v>
      </c>
      <c r="O97" s="5">
        <v>2249.89</v>
      </c>
      <c r="P97">
        <f t="shared" si="13"/>
        <v>2499.88</v>
      </c>
      <c r="Q97">
        <f t="shared" si="14"/>
        <v>249.988</v>
      </c>
      <c r="R97">
        <f t="shared" si="15"/>
        <v>2249.892</v>
      </c>
      <c r="S97" t="str">
        <f t="shared" si="16"/>
        <v>Low</v>
      </c>
      <c r="T97" t="str">
        <f t="shared" si="17"/>
        <v>Low</v>
      </c>
      <c r="U97" t="str">
        <f t="shared" si="18"/>
        <v>Heavy Discount</v>
      </c>
      <c r="V97" t="str">
        <f t="shared" si="19"/>
        <v>Average</v>
      </c>
      <c r="W97">
        <f t="shared" si="20"/>
        <v>99</v>
      </c>
      <c r="X97">
        <f t="shared" si="21"/>
        <v>106</v>
      </c>
      <c r="Y97">
        <f t="shared" si="22"/>
        <v>48</v>
      </c>
      <c r="Z97" t="str">
        <f t="shared" si="23"/>
        <v>Not Eligible</v>
      </c>
      <c r="AA97" t="str">
        <f t="shared" si="24"/>
        <v>Normal Order</v>
      </c>
      <c r="AB97" t="str">
        <f t="shared" si="25"/>
        <v>Online</v>
      </c>
    </row>
    <row r="98" spans="1:28">
      <c r="A98" s="5">
        <v>10097</v>
      </c>
      <c r="B98" s="5">
        <v>1476</v>
      </c>
      <c r="C98" s="6">
        <v>45056</v>
      </c>
      <c r="D98" s="6">
        <v>45056</v>
      </c>
      <c r="E98" s="5" t="s">
        <v>103</v>
      </c>
      <c r="F98" s="5" t="s">
        <v>89</v>
      </c>
      <c r="G98" s="5" t="s">
        <v>90</v>
      </c>
      <c r="H98" s="5" t="s">
        <v>84</v>
      </c>
      <c r="I98" s="5" t="s">
        <v>123</v>
      </c>
      <c r="J98" s="5" t="s">
        <v>135</v>
      </c>
      <c r="K98" s="5" t="s">
        <v>94</v>
      </c>
      <c r="L98" s="5">
        <v>9</v>
      </c>
      <c r="M98" s="5">
        <v>501.79</v>
      </c>
      <c r="N98" s="5">
        <v>5</v>
      </c>
      <c r="O98" s="5">
        <v>4290.3</v>
      </c>
      <c r="P98">
        <f t="shared" si="13"/>
        <v>4516.11</v>
      </c>
      <c r="Q98">
        <f t="shared" si="14"/>
        <v>225.8055</v>
      </c>
      <c r="R98">
        <f t="shared" si="15"/>
        <v>4290.3045</v>
      </c>
      <c r="S98" t="str">
        <f t="shared" si="16"/>
        <v>High</v>
      </c>
      <c r="T98" t="str">
        <f t="shared" si="17"/>
        <v>High</v>
      </c>
      <c r="U98" t="str">
        <f t="shared" si="18"/>
        <v>Heavy Discount</v>
      </c>
      <c r="V98" t="str">
        <f t="shared" si="19"/>
        <v>Good</v>
      </c>
      <c r="W98">
        <f t="shared" si="20"/>
        <v>99</v>
      </c>
      <c r="X98">
        <f t="shared" si="21"/>
        <v>106</v>
      </c>
      <c r="Y98">
        <f t="shared" si="22"/>
        <v>48</v>
      </c>
      <c r="Z98" t="str">
        <f t="shared" si="23"/>
        <v>Not Eligible</v>
      </c>
      <c r="AA98" t="str">
        <f t="shared" si="24"/>
        <v>Prriority Order</v>
      </c>
      <c r="AB98" t="str">
        <f t="shared" si="25"/>
        <v>Online</v>
      </c>
    </row>
    <row r="99" spans="1:28">
      <c r="A99" s="5">
        <v>10098</v>
      </c>
      <c r="B99" s="5">
        <v>1702</v>
      </c>
      <c r="C99" s="6">
        <v>44947</v>
      </c>
      <c r="D99" s="6">
        <v>44947</v>
      </c>
      <c r="E99" s="5" t="s">
        <v>103</v>
      </c>
      <c r="F99" s="5" t="s">
        <v>127</v>
      </c>
      <c r="G99" s="5" t="s">
        <v>90</v>
      </c>
      <c r="H99" s="5" t="s">
        <v>108</v>
      </c>
      <c r="I99" s="5" t="s">
        <v>92</v>
      </c>
      <c r="J99" s="5" t="s">
        <v>102</v>
      </c>
      <c r="K99" s="5" t="s">
        <v>111</v>
      </c>
      <c r="L99" s="5">
        <v>4</v>
      </c>
      <c r="M99" s="5">
        <v>1362.08</v>
      </c>
      <c r="N99" s="5">
        <v>15</v>
      </c>
      <c r="O99" s="5">
        <v>4631.07</v>
      </c>
      <c r="P99">
        <f t="shared" si="13"/>
        <v>5448.32</v>
      </c>
      <c r="Q99">
        <f t="shared" si="14"/>
        <v>817.248</v>
      </c>
      <c r="R99">
        <f t="shared" si="15"/>
        <v>4631.072</v>
      </c>
      <c r="S99" t="str">
        <f t="shared" si="16"/>
        <v>Low</v>
      </c>
      <c r="T99" t="str">
        <f t="shared" si="17"/>
        <v>Low</v>
      </c>
      <c r="U99" t="str">
        <f t="shared" si="18"/>
        <v>Heavy Discount</v>
      </c>
      <c r="V99" t="str">
        <f t="shared" si="19"/>
        <v>Good</v>
      </c>
      <c r="W99">
        <f t="shared" si="20"/>
        <v>99</v>
      </c>
      <c r="X99">
        <f t="shared" si="21"/>
        <v>106</v>
      </c>
      <c r="Y99">
        <f t="shared" si="22"/>
        <v>48</v>
      </c>
      <c r="Z99" t="str">
        <f t="shared" si="23"/>
        <v>Not Eligible</v>
      </c>
      <c r="AA99" t="str">
        <f t="shared" si="24"/>
        <v>Normal Order</v>
      </c>
      <c r="AB99" t="str">
        <f t="shared" si="25"/>
        <v>Online</v>
      </c>
    </row>
    <row r="100" spans="1:28">
      <c r="A100" s="5">
        <v>10099</v>
      </c>
      <c r="B100" s="5">
        <v>1401</v>
      </c>
      <c r="C100" s="6">
        <v>45009</v>
      </c>
      <c r="D100" s="6">
        <v>45009</v>
      </c>
      <c r="E100" s="5" t="s">
        <v>112</v>
      </c>
      <c r="F100" s="5" t="s">
        <v>104</v>
      </c>
      <c r="G100" s="5" t="s">
        <v>83</v>
      </c>
      <c r="H100" s="5" t="s">
        <v>108</v>
      </c>
      <c r="I100" s="5" t="s">
        <v>123</v>
      </c>
      <c r="J100" s="5" t="s">
        <v>124</v>
      </c>
      <c r="K100" s="5" t="s">
        <v>94</v>
      </c>
      <c r="L100" s="5">
        <v>3</v>
      </c>
      <c r="M100" s="5">
        <v>315.75</v>
      </c>
      <c r="N100" s="5">
        <v>20</v>
      </c>
      <c r="O100" s="5">
        <v>757.8</v>
      </c>
      <c r="P100">
        <f t="shared" si="13"/>
        <v>947.25</v>
      </c>
      <c r="Q100">
        <f t="shared" si="14"/>
        <v>189.45</v>
      </c>
      <c r="R100">
        <f t="shared" si="15"/>
        <v>757.8</v>
      </c>
      <c r="S100" t="str">
        <f t="shared" si="16"/>
        <v>Low</v>
      </c>
      <c r="T100" t="str">
        <f t="shared" si="17"/>
        <v>Low</v>
      </c>
      <c r="U100" t="str">
        <f t="shared" si="18"/>
        <v>Heavy Discount</v>
      </c>
      <c r="V100" t="str">
        <f t="shared" si="19"/>
        <v>Average</v>
      </c>
      <c r="W100">
        <f t="shared" si="20"/>
        <v>99</v>
      </c>
      <c r="X100">
        <f t="shared" si="21"/>
        <v>106</v>
      </c>
      <c r="Y100">
        <f t="shared" si="22"/>
        <v>48</v>
      </c>
      <c r="Z100" t="str">
        <f t="shared" si="23"/>
        <v>Not Eligible</v>
      </c>
      <c r="AA100" t="str">
        <f t="shared" si="24"/>
        <v>Normal Order</v>
      </c>
      <c r="AB100" t="str">
        <f t="shared" si="25"/>
        <v>Online</v>
      </c>
    </row>
    <row r="101" spans="1:28">
      <c r="A101" s="5">
        <v>10100</v>
      </c>
      <c r="B101" s="5">
        <v>1729</v>
      </c>
      <c r="C101" s="6">
        <v>45176</v>
      </c>
      <c r="D101" s="6">
        <v>45176</v>
      </c>
      <c r="E101" s="5" t="s">
        <v>82</v>
      </c>
      <c r="F101" s="5" t="s">
        <v>95</v>
      </c>
      <c r="G101" s="5" t="s">
        <v>90</v>
      </c>
      <c r="H101" s="5" t="s">
        <v>84</v>
      </c>
      <c r="I101" s="5" t="s">
        <v>85</v>
      </c>
      <c r="J101" s="5" t="s">
        <v>109</v>
      </c>
      <c r="K101" s="5" t="s">
        <v>113</v>
      </c>
      <c r="L101" s="5">
        <v>7</v>
      </c>
      <c r="M101" s="5">
        <v>3156.71</v>
      </c>
      <c r="N101" s="5">
        <v>10</v>
      </c>
      <c r="O101" s="5">
        <v>19887.27</v>
      </c>
      <c r="P101">
        <f t="shared" si="13"/>
        <v>22096.97</v>
      </c>
      <c r="Q101">
        <f t="shared" si="14"/>
        <v>2209.697</v>
      </c>
      <c r="R101">
        <f t="shared" si="15"/>
        <v>19887.273</v>
      </c>
      <c r="S101" t="str">
        <f t="shared" si="16"/>
        <v>High</v>
      </c>
      <c r="T101" t="str">
        <f t="shared" si="17"/>
        <v>High</v>
      </c>
      <c r="U101" t="str">
        <f t="shared" si="18"/>
        <v>Heavy Discount</v>
      </c>
      <c r="V101" t="str">
        <f t="shared" si="19"/>
        <v>Excellent Sales</v>
      </c>
      <c r="W101">
        <f t="shared" si="20"/>
        <v>99</v>
      </c>
      <c r="X101">
        <f t="shared" si="21"/>
        <v>106</v>
      </c>
      <c r="Y101">
        <f t="shared" si="22"/>
        <v>48</v>
      </c>
      <c r="Z101" t="str">
        <f t="shared" si="23"/>
        <v>Not Eligible</v>
      </c>
      <c r="AA101" t="str">
        <f t="shared" si="24"/>
        <v>Prriority Order</v>
      </c>
      <c r="AB101" t="str">
        <f t="shared" si="25"/>
        <v>Online</v>
      </c>
    </row>
    <row r="102" spans="1:28">
      <c r="A102" s="5">
        <v>10101</v>
      </c>
      <c r="B102" s="5">
        <v>1555</v>
      </c>
      <c r="C102" s="6">
        <v>45155</v>
      </c>
      <c r="D102" s="6">
        <v>45155</v>
      </c>
      <c r="E102" s="5" t="s">
        <v>82</v>
      </c>
      <c r="F102" s="5" t="s">
        <v>82</v>
      </c>
      <c r="G102" s="5" t="s">
        <v>96</v>
      </c>
      <c r="H102" s="5" t="s">
        <v>108</v>
      </c>
      <c r="I102" s="5" t="s">
        <v>132</v>
      </c>
      <c r="J102" s="5" t="s">
        <v>134</v>
      </c>
      <c r="K102" s="5" t="s">
        <v>94</v>
      </c>
      <c r="L102" s="5">
        <v>8</v>
      </c>
      <c r="M102" s="5">
        <v>1683.18</v>
      </c>
      <c r="N102" s="5">
        <v>15</v>
      </c>
      <c r="O102" s="5">
        <v>11445.62</v>
      </c>
      <c r="P102">
        <f t="shared" si="13"/>
        <v>13465.44</v>
      </c>
      <c r="Q102">
        <f t="shared" si="14"/>
        <v>2019.816</v>
      </c>
      <c r="R102">
        <f t="shared" si="15"/>
        <v>11445.624</v>
      </c>
      <c r="S102" t="str">
        <f t="shared" si="16"/>
        <v>High</v>
      </c>
      <c r="T102" t="str">
        <f t="shared" si="17"/>
        <v>High</v>
      </c>
      <c r="U102" t="str">
        <f t="shared" si="18"/>
        <v>Heavy Discount</v>
      </c>
      <c r="V102" t="str">
        <f t="shared" si="19"/>
        <v>Excellent Sales</v>
      </c>
      <c r="W102">
        <f t="shared" si="20"/>
        <v>99</v>
      </c>
      <c r="X102">
        <f t="shared" si="21"/>
        <v>106</v>
      </c>
      <c r="Y102">
        <f t="shared" si="22"/>
        <v>48</v>
      </c>
      <c r="Z102" t="str">
        <f t="shared" si="23"/>
        <v>Not Eligible</v>
      </c>
      <c r="AA102" t="str">
        <f t="shared" si="24"/>
        <v>Prriority Order</v>
      </c>
      <c r="AB102" t="str">
        <f t="shared" si="25"/>
        <v/>
      </c>
    </row>
    <row r="103" spans="1:28">
      <c r="A103" s="5">
        <v>10102</v>
      </c>
      <c r="B103" s="5">
        <v>1161</v>
      </c>
      <c r="C103" s="6">
        <v>45002</v>
      </c>
      <c r="D103" s="6">
        <v>45002</v>
      </c>
      <c r="E103" s="5" t="s">
        <v>103</v>
      </c>
      <c r="F103" s="5" t="s">
        <v>127</v>
      </c>
      <c r="G103" s="5" t="s">
        <v>96</v>
      </c>
      <c r="H103" s="5" t="s">
        <v>91</v>
      </c>
      <c r="I103" s="5" t="s">
        <v>97</v>
      </c>
      <c r="J103" s="5" t="s">
        <v>105</v>
      </c>
      <c r="K103" s="5" t="s">
        <v>87</v>
      </c>
      <c r="L103" s="5">
        <v>2</v>
      </c>
      <c r="M103" s="5">
        <v>1859.03</v>
      </c>
      <c r="N103" s="5">
        <v>20</v>
      </c>
      <c r="O103" s="5">
        <v>2974.45</v>
      </c>
      <c r="P103">
        <f t="shared" si="13"/>
        <v>3718.06</v>
      </c>
      <c r="Q103">
        <f t="shared" si="14"/>
        <v>743.612</v>
      </c>
      <c r="R103">
        <f t="shared" si="15"/>
        <v>2974.448</v>
      </c>
      <c r="S103" t="str">
        <f t="shared" si="16"/>
        <v>Low</v>
      </c>
      <c r="T103" t="str">
        <f t="shared" si="17"/>
        <v>Low</v>
      </c>
      <c r="U103" t="str">
        <f t="shared" si="18"/>
        <v>Heavy Discount</v>
      </c>
      <c r="V103" t="str">
        <f t="shared" si="19"/>
        <v>Average</v>
      </c>
      <c r="W103">
        <f t="shared" si="20"/>
        <v>99</v>
      </c>
      <c r="X103">
        <f t="shared" si="21"/>
        <v>106</v>
      </c>
      <c r="Y103">
        <f t="shared" si="22"/>
        <v>48</v>
      </c>
      <c r="Z103" t="str">
        <f t="shared" si="23"/>
        <v>Not Eligible</v>
      </c>
      <c r="AA103" t="str">
        <f t="shared" si="24"/>
        <v>Normal Order</v>
      </c>
      <c r="AB103" t="str">
        <f t="shared" si="25"/>
        <v/>
      </c>
    </row>
    <row r="104" spans="1:28">
      <c r="A104" s="5">
        <v>10103</v>
      </c>
      <c r="B104" s="5">
        <v>1201</v>
      </c>
      <c r="C104" s="6">
        <v>45244</v>
      </c>
      <c r="D104" s="6">
        <v>45244</v>
      </c>
      <c r="E104" s="5" t="s">
        <v>112</v>
      </c>
      <c r="F104" s="5" t="s">
        <v>89</v>
      </c>
      <c r="G104" s="5" t="s">
        <v>83</v>
      </c>
      <c r="H104" s="5" t="s">
        <v>108</v>
      </c>
      <c r="I104" s="5" t="s">
        <v>85</v>
      </c>
      <c r="J104" s="5" t="s">
        <v>86</v>
      </c>
      <c r="K104" s="5" t="s">
        <v>113</v>
      </c>
      <c r="L104" s="5">
        <v>7</v>
      </c>
      <c r="M104" s="5">
        <v>3590.34</v>
      </c>
      <c r="N104" s="5">
        <v>20</v>
      </c>
      <c r="O104" s="5">
        <v>20105.9</v>
      </c>
      <c r="P104">
        <f t="shared" si="13"/>
        <v>25132.38</v>
      </c>
      <c r="Q104">
        <f t="shared" si="14"/>
        <v>5026.476</v>
      </c>
      <c r="R104">
        <f t="shared" si="15"/>
        <v>20105.904</v>
      </c>
      <c r="S104" t="str">
        <f t="shared" si="16"/>
        <v>High</v>
      </c>
      <c r="T104" t="str">
        <f t="shared" si="17"/>
        <v>High</v>
      </c>
      <c r="U104" t="str">
        <f t="shared" si="18"/>
        <v>Heavy Discount</v>
      </c>
      <c r="V104" t="str">
        <f t="shared" si="19"/>
        <v>Excellent Sales</v>
      </c>
      <c r="W104">
        <f t="shared" si="20"/>
        <v>99</v>
      </c>
      <c r="X104">
        <f t="shared" si="21"/>
        <v>106</v>
      </c>
      <c r="Y104">
        <f t="shared" si="22"/>
        <v>48</v>
      </c>
      <c r="Z104" t="str">
        <f t="shared" si="23"/>
        <v>Not Eligible</v>
      </c>
      <c r="AA104" t="str">
        <f t="shared" si="24"/>
        <v>Prriority Order</v>
      </c>
      <c r="AB104" t="str">
        <f t="shared" si="25"/>
        <v>Online</v>
      </c>
    </row>
    <row r="105" spans="1:28">
      <c r="A105" s="5">
        <v>10104</v>
      </c>
      <c r="B105" s="5">
        <v>1957</v>
      </c>
      <c r="C105" s="6">
        <v>45146</v>
      </c>
      <c r="D105" s="6">
        <v>45146</v>
      </c>
      <c r="E105" s="5" t="s">
        <v>82</v>
      </c>
      <c r="F105" s="5" t="s">
        <v>127</v>
      </c>
      <c r="G105" s="5" t="s">
        <v>90</v>
      </c>
      <c r="H105" s="5" t="s">
        <v>110</v>
      </c>
      <c r="I105" s="5" t="s">
        <v>123</v>
      </c>
      <c r="J105" s="5" t="s">
        <v>124</v>
      </c>
      <c r="K105" s="5" t="s">
        <v>111</v>
      </c>
      <c r="L105" s="5">
        <v>5</v>
      </c>
      <c r="M105" s="5">
        <v>2683.51</v>
      </c>
      <c r="N105" s="5">
        <v>10</v>
      </c>
      <c r="O105" s="5">
        <v>12075.79</v>
      </c>
      <c r="P105">
        <f t="shared" si="13"/>
        <v>13417.55</v>
      </c>
      <c r="Q105">
        <f t="shared" si="14"/>
        <v>1341.755</v>
      </c>
      <c r="R105">
        <f t="shared" si="15"/>
        <v>12075.795</v>
      </c>
      <c r="S105" t="str">
        <f t="shared" si="16"/>
        <v>High</v>
      </c>
      <c r="T105" t="str">
        <f t="shared" si="17"/>
        <v>Medium</v>
      </c>
      <c r="U105" t="str">
        <f t="shared" si="18"/>
        <v>Heavy Discount</v>
      </c>
      <c r="V105" t="str">
        <f t="shared" si="19"/>
        <v>Excellent Sales</v>
      </c>
      <c r="W105">
        <f t="shared" si="20"/>
        <v>99</v>
      </c>
      <c r="X105">
        <f t="shared" si="21"/>
        <v>106</v>
      </c>
      <c r="Y105">
        <f t="shared" si="22"/>
        <v>48</v>
      </c>
      <c r="Z105" t="str">
        <f t="shared" si="23"/>
        <v>Not Eligible</v>
      </c>
      <c r="AA105" t="str">
        <f t="shared" si="24"/>
        <v>Prriority Order</v>
      </c>
      <c r="AB105" t="str">
        <f t="shared" si="25"/>
        <v>Online</v>
      </c>
    </row>
    <row r="106" spans="1:28">
      <c r="A106" s="5">
        <v>10105</v>
      </c>
      <c r="B106" s="5">
        <v>1995</v>
      </c>
      <c r="C106" s="6">
        <v>45029</v>
      </c>
      <c r="D106" s="6">
        <v>45029</v>
      </c>
      <c r="E106" s="5" t="s">
        <v>112</v>
      </c>
      <c r="F106" s="5" t="s">
        <v>107</v>
      </c>
      <c r="G106" s="5" t="s">
        <v>90</v>
      </c>
      <c r="H106" s="5" t="s">
        <v>101</v>
      </c>
      <c r="I106" s="5" t="s">
        <v>92</v>
      </c>
      <c r="J106" s="5" t="s">
        <v>93</v>
      </c>
      <c r="K106" s="5" t="s">
        <v>87</v>
      </c>
      <c r="L106" s="5">
        <v>5</v>
      </c>
      <c r="M106" s="5">
        <v>181.03</v>
      </c>
      <c r="N106" s="5">
        <v>10</v>
      </c>
      <c r="O106" s="5">
        <v>814.63</v>
      </c>
      <c r="P106">
        <f t="shared" si="13"/>
        <v>905.15</v>
      </c>
      <c r="Q106">
        <f t="shared" si="14"/>
        <v>90.515</v>
      </c>
      <c r="R106">
        <f t="shared" si="15"/>
        <v>814.635</v>
      </c>
      <c r="S106" t="str">
        <f t="shared" si="16"/>
        <v>High</v>
      </c>
      <c r="T106" t="str">
        <f t="shared" si="17"/>
        <v>Medium</v>
      </c>
      <c r="U106" t="str">
        <f t="shared" si="18"/>
        <v>Heavy Discount</v>
      </c>
      <c r="V106" t="str">
        <f t="shared" si="19"/>
        <v>Average</v>
      </c>
      <c r="W106">
        <f t="shared" si="20"/>
        <v>99</v>
      </c>
      <c r="X106">
        <f t="shared" si="21"/>
        <v>106</v>
      </c>
      <c r="Y106">
        <f t="shared" si="22"/>
        <v>48</v>
      </c>
      <c r="Z106" t="str">
        <f t="shared" si="23"/>
        <v>Not Eligible</v>
      </c>
      <c r="AA106" t="str">
        <f t="shared" si="24"/>
        <v>Normal Order</v>
      </c>
      <c r="AB106" t="str">
        <f t="shared" si="25"/>
        <v>Online</v>
      </c>
    </row>
    <row r="107" spans="1:28">
      <c r="A107" s="5">
        <v>10106</v>
      </c>
      <c r="B107" s="5">
        <v>1269</v>
      </c>
      <c r="C107" s="6">
        <v>45113</v>
      </c>
      <c r="D107" s="6">
        <v>45113</v>
      </c>
      <c r="E107" s="5" t="s">
        <v>112</v>
      </c>
      <c r="F107" s="5" t="s">
        <v>89</v>
      </c>
      <c r="G107" s="5" t="s">
        <v>96</v>
      </c>
      <c r="H107" s="5" t="s">
        <v>91</v>
      </c>
      <c r="I107" s="5" t="s">
        <v>115</v>
      </c>
      <c r="J107" s="5" t="s">
        <v>138</v>
      </c>
      <c r="K107" s="5" t="s">
        <v>113</v>
      </c>
      <c r="L107" s="5">
        <v>3</v>
      </c>
      <c r="M107" s="5">
        <v>3781.22</v>
      </c>
      <c r="N107" s="5">
        <v>5</v>
      </c>
      <c r="O107" s="5">
        <v>10776.48</v>
      </c>
      <c r="P107">
        <f t="shared" si="13"/>
        <v>11343.66</v>
      </c>
      <c r="Q107">
        <f t="shared" si="14"/>
        <v>567.183</v>
      </c>
      <c r="R107">
        <f t="shared" si="15"/>
        <v>10776.477</v>
      </c>
      <c r="S107" t="str">
        <f t="shared" si="16"/>
        <v>Low</v>
      </c>
      <c r="T107" t="str">
        <f t="shared" si="17"/>
        <v>Low</v>
      </c>
      <c r="U107" t="str">
        <f t="shared" si="18"/>
        <v>Heavy Discount</v>
      </c>
      <c r="V107" t="str">
        <f t="shared" si="19"/>
        <v>Excellent Sales</v>
      </c>
      <c r="W107">
        <f t="shared" si="20"/>
        <v>99</v>
      </c>
      <c r="X107">
        <f t="shared" si="21"/>
        <v>106</v>
      </c>
      <c r="Y107">
        <f t="shared" si="22"/>
        <v>48</v>
      </c>
      <c r="Z107" t="str">
        <f t="shared" si="23"/>
        <v>Not Eligible</v>
      </c>
      <c r="AA107" t="str">
        <f t="shared" si="24"/>
        <v>Prriority Order</v>
      </c>
      <c r="AB107" t="str">
        <f t="shared" si="25"/>
        <v/>
      </c>
    </row>
    <row r="108" spans="1:28">
      <c r="A108" s="5">
        <v>10107</v>
      </c>
      <c r="B108" s="5">
        <v>1862</v>
      </c>
      <c r="C108" s="6">
        <v>45064</v>
      </c>
      <c r="D108" s="6">
        <v>45064</v>
      </c>
      <c r="E108" s="5" t="s">
        <v>112</v>
      </c>
      <c r="F108" s="5" t="s">
        <v>104</v>
      </c>
      <c r="G108" s="5" t="s">
        <v>83</v>
      </c>
      <c r="H108" s="5" t="s">
        <v>110</v>
      </c>
      <c r="I108" s="5" t="s">
        <v>123</v>
      </c>
      <c r="J108" s="5" t="s">
        <v>135</v>
      </c>
      <c r="K108" s="5" t="s">
        <v>111</v>
      </c>
      <c r="L108" s="5">
        <v>5</v>
      </c>
      <c r="M108" s="5">
        <v>1063.01</v>
      </c>
      <c r="N108" s="5">
        <v>15</v>
      </c>
      <c r="O108" s="5">
        <v>4517.79</v>
      </c>
      <c r="P108">
        <f t="shared" si="13"/>
        <v>5315.05</v>
      </c>
      <c r="Q108">
        <f t="shared" si="14"/>
        <v>797.2575</v>
      </c>
      <c r="R108">
        <f t="shared" si="15"/>
        <v>4517.7925</v>
      </c>
      <c r="S108" t="str">
        <f t="shared" si="16"/>
        <v>High</v>
      </c>
      <c r="T108" t="str">
        <f t="shared" si="17"/>
        <v>Medium</v>
      </c>
      <c r="U108" t="str">
        <f t="shared" si="18"/>
        <v>Heavy Discount</v>
      </c>
      <c r="V108" t="str">
        <f t="shared" si="19"/>
        <v>Good</v>
      </c>
      <c r="W108">
        <f t="shared" si="20"/>
        <v>99</v>
      </c>
      <c r="X108">
        <f t="shared" si="21"/>
        <v>106</v>
      </c>
      <c r="Y108">
        <f t="shared" si="22"/>
        <v>48</v>
      </c>
      <c r="Z108" t="str">
        <f t="shared" si="23"/>
        <v>Not Eligible</v>
      </c>
      <c r="AA108" t="str">
        <f t="shared" si="24"/>
        <v>Normal Order</v>
      </c>
      <c r="AB108" t="str">
        <f t="shared" si="25"/>
        <v>Online</v>
      </c>
    </row>
    <row r="109" spans="1:28">
      <c r="A109" s="5">
        <v>10108</v>
      </c>
      <c r="B109" s="5">
        <v>1815</v>
      </c>
      <c r="C109" s="6">
        <v>45045</v>
      </c>
      <c r="D109" s="6">
        <v>45045</v>
      </c>
      <c r="E109" s="5" t="s">
        <v>81</v>
      </c>
      <c r="F109" s="5" t="s">
        <v>95</v>
      </c>
      <c r="G109" s="5" t="s">
        <v>90</v>
      </c>
      <c r="H109" s="5" t="s">
        <v>84</v>
      </c>
      <c r="I109" s="5" t="s">
        <v>92</v>
      </c>
      <c r="J109" s="5" t="s">
        <v>102</v>
      </c>
      <c r="K109" s="5" t="s">
        <v>87</v>
      </c>
      <c r="L109" s="5">
        <v>2</v>
      </c>
      <c r="M109" s="5">
        <v>564.31</v>
      </c>
      <c r="N109" s="5">
        <v>15</v>
      </c>
      <c r="O109" s="5">
        <v>959.33</v>
      </c>
      <c r="P109">
        <f t="shared" si="13"/>
        <v>1128.62</v>
      </c>
      <c r="Q109">
        <f t="shared" si="14"/>
        <v>169.293</v>
      </c>
      <c r="R109">
        <f t="shared" si="15"/>
        <v>959.327</v>
      </c>
      <c r="S109" t="str">
        <f t="shared" si="16"/>
        <v>Low</v>
      </c>
      <c r="T109" t="str">
        <f t="shared" si="17"/>
        <v>Low</v>
      </c>
      <c r="U109" t="str">
        <f t="shared" si="18"/>
        <v>Heavy Discount</v>
      </c>
      <c r="V109" t="str">
        <f t="shared" si="19"/>
        <v>Average</v>
      </c>
      <c r="W109">
        <f t="shared" si="20"/>
        <v>99</v>
      </c>
      <c r="X109">
        <f t="shared" si="21"/>
        <v>106</v>
      </c>
      <c r="Y109">
        <f t="shared" si="22"/>
        <v>48</v>
      </c>
      <c r="Z109" t="str">
        <f t="shared" si="23"/>
        <v>Not Eligible</v>
      </c>
      <c r="AA109" t="str">
        <f t="shared" si="24"/>
        <v>Normal Order</v>
      </c>
      <c r="AB109" t="str">
        <f t="shared" si="25"/>
        <v>Online</v>
      </c>
    </row>
    <row r="110" spans="1:28">
      <c r="A110" s="5">
        <v>10109</v>
      </c>
      <c r="B110" s="5">
        <v>1270</v>
      </c>
      <c r="C110" s="6">
        <v>45061</v>
      </c>
      <c r="D110" s="6">
        <v>45061</v>
      </c>
      <c r="E110" s="5" t="s">
        <v>106</v>
      </c>
      <c r="F110" s="5" t="s">
        <v>104</v>
      </c>
      <c r="G110" s="5" t="s">
        <v>83</v>
      </c>
      <c r="H110" s="5" t="s">
        <v>91</v>
      </c>
      <c r="I110" s="5" t="s">
        <v>132</v>
      </c>
      <c r="J110" s="5" t="s">
        <v>134</v>
      </c>
      <c r="K110" s="5" t="s">
        <v>87</v>
      </c>
      <c r="L110" s="5">
        <v>4</v>
      </c>
      <c r="M110" s="5">
        <v>3107.29</v>
      </c>
      <c r="N110" s="5">
        <v>10</v>
      </c>
      <c r="O110" s="5">
        <v>11186.24</v>
      </c>
      <c r="P110">
        <f t="shared" si="13"/>
        <v>12429.16</v>
      </c>
      <c r="Q110">
        <f t="shared" si="14"/>
        <v>1242.916</v>
      </c>
      <c r="R110">
        <f t="shared" si="15"/>
        <v>11186.244</v>
      </c>
      <c r="S110" t="str">
        <f t="shared" si="16"/>
        <v>Low</v>
      </c>
      <c r="T110" t="str">
        <f t="shared" si="17"/>
        <v>Low</v>
      </c>
      <c r="U110" t="str">
        <f t="shared" si="18"/>
        <v>Heavy Discount</v>
      </c>
      <c r="V110" t="str">
        <f t="shared" si="19"/>
        <v>Excellent Sales</v>
      </c>
      <c r="W110">
        <f t="shared" si="20"/>
        <v>99</v>
      </c>
      <c r="X110">
        <f t="shared" si="21"/>
        <v>106</v>
      </c>
      <c r="Y110">
        <f t="shared" si="22"/>
        <v>48</v>
      </c>
      <c r="Z110" t="str">
        <f t="shared" si="23"/>
        <v>Not Eligible</v>
      </c>
      <c r="AA110" t="str">
        <f t="shared" si="24"/>
        <v>Prriority Order</v>
      </c>
      <c r="AB110" t="str">
        <f t="shared" si="25"/>
        <v>Online</v>
      </c>
    </row>
    <row r="111" spans="1:28">
      <c r="A111" s="5">
        <v>10110</v>
      </c>
      <c r="B111" s="5">
        <v>1455</v>
      </c>
      <c r="C111" s="6">
        <v>44947</v>
      </c>
      <c r="D111" s="6">
        <v>44947</v>
      </c>
      <c r="E111" s="5" t="s">
        <v>112</v>
      </c>
      <c r="F111" s="5" t="s">
        <v>82</v>
      </c>
      <c r="G111" s="5" t="s">
        <v>90</v>
      </c>
      <c r="H111" s="5" t="s">
        <v>101</v>
      </c>
      <c r="I111" s="5" t="s">
        <v>123</v>
      </c>
      <c r="J111" s="5" t="s">
        <v>131</v>
      </c>
      <c r="K111" s="5" t="s">
        <v>113</v>
      </c>
      <c r="L111" s="5">
        <v>6</v>
      </c>
      <c r="M111" s="5">
        <v>2076.84</v>
      </c>
      <c r="N111" s="5">
        <v>20</v>
      </c>
      <c r="O111" s="5">
        <v>9968.83</v>
      </c>
      <c r="P111">
        <f t="shared" si="13"/>
        <v>12461.04</v>
      </c>
      <c r="Q111">
        <f t="shared" si="14"/>
        <v>2492.208</v>
      </c>
      <c r="R111">
        <f t="shared" si="15"/>
        <v>9968.832</v>
      </c>
      <c r="S111" t="str">
        <f t="shared" si="16"/>
        <v>High</v>
      </c>
      <c r="T111" t="str">
        <f t="shared" si="17"/>
        <v>High</v>
      </c>
      <c r="U111" t="str">
        <f t="shared" si="18"/>
        <v>Heavy Discount</v>
      </c>
      <c r="V111" t="str">
        <f t="shared" si="19"/>
        <v>Excellent Sales</v>
      </c>
      <c r="W111">
        <f t="shared" si="20"/>
        <v>99</v>
      </c>
      <c r="X111">
        <f t="shared" si="21"/>
        <v>106</v>
      </c>
      <c r="Y111">
        <f t="shared" si="22"/>
        <v>48</v>
      </c>
      <c r="Z111" t="str">
        <f t="shared" si="23"/>
        <v>Not Eligible</v>
      </c>
      <c r="AA111" t="str">
        <f t="shared" si="24"/>
        <v>Prriority Order</v>
      </c>
      <c r="AB111" t="str">
        <f t="shared" si="25"/>
        <v>Online</v>
      </c>
    </row>
    <row r="112" spans="1:28">
      <c r="A112" s="5">
        <v>10111</v>
      </c>
      <c r="B112" s="5">
        <v>1461</v>
      </c>
      <c r="C112" s="6">
        <v>44959</v>
      </c>
      <c r="D112" s="6">
        <v>44959</v>
      </c>
      <c r="E112" s="5" t="s">
        <v>81</v>
      </c>
      <c r="F112" s="5" t="s">
        <v>127</v>
      </c>
      <c r="G112" s="5" t="s">
        <v>96</v>
      </c>
      <c r="H112" s="5" t="s">
        <v>101</v>
      </c>
      <c r="I112" s="5" t="s">
        <v>115</v>
      </c>
      <c r="J112" s="5" t="s">
        <v>143</v>
      </c>
      <c r="K112" s="5" t="s">
        <v>99</v>
      </c>
      <c r="L112" s="5">
        <v>1</v>
      </c>
      <c r="M112" s="5">
        <v>1820.02</v>
      </c>
      <c r="N112" s="5">
        <v>10</v>
      </c>
      <c r="O112" s="5">
        <v>1638.02</v>
      </c>
      <c r="P112">
        <f t="shared" si="13"/>
        <v>1820.02</v>
      </c>
      <c r="Q112">
        <f t="shared" si="14"/>
        <v>182.002</v>
      </c>
      <c r="R112">
        <f t="shared" si="15"/>
        <v>1638.018</v>
      </c>
      <c r="S112" t="str">
        <f t="shared" si="16"/>
        <v>Low</v>
      </c>
      <c r="T112" t="str">
        <f t="shared" si="17"/>
        <v>Low</v>
      </c>
      <c r="U112" t="str">
        <f t="shared" si="18"/>
        <v>Heavy Discount</v>
      </c>
      <c r="V112" t="str">
        <f t="shared" si="19"/>
        <v>Average</v>
      </c>
      <c r="W112">
        <f t="shared" si="20"/>
        <v>99</v>
      </c>
      <c r="X112">
        <f t="shared" si="21"/>
        <v>106</v>
      </c>
      <c r="Y112">
        <f t="shared" si="22"/>
        <v>48</v>
      </c>
      <c r="Z112" t="str">
        <f t="shared" si="23"/>
        <v>Not Eligible</v>
      </c>
      <c r="AA112" t="str">
        <f t="shared" si="24"/>
        <v>Normal Order</v>
      </c>
      <c r="AB112" t="str">
        <f t="shared" si="25"/>
        <v/>
      </c>
    </row>
    <row r="113" spans="1:28">
      <c r="A113" s="5">
        <v>10112</v>
      </c>
      <c r="B113" s="5">
        <v>1726</v>
      </c>
      <c r="C113" s="6">
        <v>45154</v>
      </c>
      <c r="D113" s="6">
        <v>45154</v>
      </c>
      <c r="E113" s="5" t="s">
        <v>103</v>
      </c>
      <c r="F113" s="5" t="s">
        <v>107</v>
      </c>
      <c r="G113" s="5" t="s">
        <v>96</v>
      </c>
      <c r="H113" s="5" t="s">
        <v>84</v>
      </c>
      <c r="I113" s="5" t="s">
        <v>92</v>
      </c>
      <c r="J113" s="5" t="s">
        <v>102</v>
      </c>
      <c r="K113" s="5" t="s">
        <v>87</v>
      </c>
      <c r="L113" s="5">
        <v>4</v>
      </c>
      <c r="M113" s="5">
        <v>1110.59</v>
      </c>
      <c r="N113" s="5">
        <v>20</v>
      </c>
      <c r="O113" s="5">
        <v>3553.89</v>
      </c>
      <c r="P113">
        <f t="shared" si="13"/>
        <v>4442.36</v>
      </c>
      <c r="Q113">
        <f t="shared" si="14"/>
        <v>888.472</v>
      </c>
      <c r="R113">
        <f t="shared" si="15"/>
        <v>3553.888</v>
      </c>
      <c r="S113" t="str">
        <f t="shared" si="16"/>
        <v>Low</v>
      </c>
      <c r="T113" t="str">
        <f t="shared" si="17"/>
        <v>Low</v>
      </c>
      <c r="U113" t="str">
        <f t="shared" si="18"/>
        <v>Heavy Discount</v>
      </c>
      <c r="V113" t="str">
        <f t="shared" si="19"/>
        <v>Average</v>
      </c>
      <c r="W113">
        <f t="shared" si="20"/>
        <v>99</v>
      </c>
      <c r="X113">
        <f t="shared" si="21"/>
        <v>106</v>
      </c>
      <c r="Y113">
        <f t="shared" si="22"/>
        <v>48</v>
      </c>
      <c r="Z113" t="str">
        <f t="shared" si="23"/>
        <v>Not Eligible</v>
      </c>
      <c r="AA113" t="str">
        <f t="shared" si="24"/>
        <v>Normal Order</v>
      </c>
      <c r="AB113" t="str">
        <f t="shared" si="25"/>
        <v/>
      </c>
    </row>
    <row r="114" spans="1:28">
      <c r="A114" s="5">
        <v>10113</v>
      </c>
      <c r="B114" s="5">
        <v>1251</v>
      </c>
      <c r="C114" s="6">
        <v>45083</v>
      </c>
      <c r="D114" s="6">
        <v>45083</v>
      </c>
      <c r="E114" s="5" t="s">
        <v>82</v>
      </c>
      <c r="F114" s="5" t="s">
        <v>89</v>
      </c>
      <c r="G114" s="5" t="s">
        <v>83</v>
      </c>
      <c r="H114" s="5" t="s">
        <v>84</v>
      </c>
      <c r="I114" s="5" t="s">
        <v>92</v>
      </c>
      <c r="J114" s="5" t="s">
        <v>136</v>
      </c>
      <c r="K114" s="5" t="s">
        <v>87</v>
      </c>
      <c r="L114" s="5">
        <v>6</v>
      </c>
      <c r="M114" s="5">
        <v>2257.77</v>
      </c>
      <c r="N114" s="5">
        <v>20</v>
      </c>
      <c r="O114" s="5">
        <v>10837.3</v>
      </c>
      <c r="P114">
        <f t="shared" si="13"/>
        <v>13546.62</v>
      </c>
      <c r="Q114">
        <f t="shared" si="14"/>
        <v>2709.324</v>
      </c>
      <c r="R114">
        <f t="shared" si="15"/>
        <v>10837.296</v>
      </c>
      <c r="S114" t="str">
        <f t="shared" si="16"/>
        <v>High</v>
      </c>
      <c r="T114" t="str">
        <f t="shared" si="17"/>
        <v>High</v>
      </c>
      <c r="U114" t="str">
        <f t="shared" si="18"/>
        <v>Heavy Discount</v>
      </c>
      <c r="V114" t="str">
        <f t="shared" si="19"/>
        <v>Excellent Sales</v>
      </c>
      <c r="W114">
        <f t="shared" si="20"/>
        <v>99</v>
      </c>
      <c r="X114">
        <f t="shared" si="21"/>
        <v>106</v>
      </c>
      <c r="Y114">
        <f t="shared" si="22"/>
        <v>48</v>
      </c>
      <c r="Z114" t="str">
        <f t="shared" si="23"/>
        <v>Not Eligible</v>
      </c>
      <c r="AA114" t="str">
        <f t="shared" si="24"/>
        <v>Prriority Order</v>
      </c>
      <c r="AB114" t="str">
        <f t="shared" si="25"/>
        <v>Online</v>
      </c>
    </row>
    <row r="115" spans="1:28">
      <c r="A115" s="5">
        <v>10114</v>
      </c>
      <c r="B115" s="5">
        <v>1701</v>
      </c>
      <c r="C115" s="6">
        <v>45227</v>
      </c>
      <c r="D115" s="6">
        <v>45227</v>
      </c>
      <c r="E115" s="5" t="s">
        <v>106</v>
      </c>
      <c r="F115" s="5" t="s">
        <v>89</v>
      </c>
      <c r="G115" s="5" t="s">
        <v>96</v>
      </c>
      <c r="H115" s="5" t="s">
        <v>91</v>
      </c>
      <c r="I115" s="5" t="s">
        <v>92</v>
      </c>
      <c r="J115" s="5" t="s">
        <v>144</v>
      </c>
      <c r="K115" s="5" t="s">
        <v>111</v>
      </c>
      <c r="L115" s="5">
        <v>9</v>
      </c>
      <c r="M115" s="5">
        <v>1206.38</v>
      </c>
      <c r="N115" s="5">
        <v>10</v>
      </c>
      <c r="O115" s="5">
        <v>9771.68</v>
      </c>
      <c r="P115">
        <f t="shared" si="13"/>
        <v>10857.42</v>
      </c>
      <c r="Q115">
        <f t="shared" si="14"/>
        <v>1085.742</v>
      </c>
      <c r="R115">
        <f t="shared" si="15"/>
        <v>9771.678</v>
      </c>
      <c r="S115" t="str">
        <f t="shared" si="16"/>
        <v>High</v>
      </c>
      <c r="T115" t="str">
        <f t="shared" si="17"/>
        <v>High</v>
      </c>
      <c r="U115" t="str">
        <f t="shared" si="18"/>
        <v>Heavy Discount</v>
      </c>
      <c r="V115" t="str">
        <f t="shared" si="19"/>
        <v>Excellent Sales</v>
      </c>
      <c r="W115">
        <f t="shared" si="20"/>
        <v>99</v>
      </c>
      <c r="X115">
        <f t="shared" si="21"/>
        <v>106</v>
      </c>
      <c r="Y115">
        <f t="shared" si="22"/>
        <v>48</v>
      </c>
      <c r="Z115" t="str">
        <f t="shared" si="23"/>
        <v>Not Eligible</v>
      </c>
      <c r="AA115" t="str">
        <f t="shared" si="24"/>
        <v>Prriority Order</v>
      </c>
      <c r="AB115" t="str">
        <f t="shared" si="25"/>
        <v/>
      </c>
    </row>
    <row r="116" spans="1:28">
      <c r="A116" s="5">
        <v>10115</v>
      </c>
      <c r="B116" s="5">
        <v>1295</v>
      </c>
      <c r="C116" s="6">
        <v>45159</v>
      </c>
      <c r="D116" s="6">
        <v>45159</v>
      </c>
      <c r="E116" s="5" t="s">
        <v>88</v>
      </c>
      <c r="F116" s="5" t="s">
        <v>127</v>
      </c>
      <c r="G116" s="5" t="s">
        <v>90</v>
      </c>
      <c r="H116" s="5" t="s">
        <v>108</v>
      </c>
      <c r="I116" s="5" t="s">
        <v>132</v>
      </c>
      <c r="J116" s="5" t="s">
        <v>137</v>
      </c>
      <c r="K116" s="5" t="s">
        <v>94</v>
      </c>
      <c r="L116" s="5">
        <v>2</v>
      </c>
      <c r="M116" s="5">
        <v>3621.09</v>
      </c>
      <c r="N116" s="5">
        <v>0</v>
      </c>
      <c r="O116" s="5">
        <v>7242.18</v>
      </c>
      <c r="P116">
        <f t="shared" si="13"/>
        <v>7242.18</v>
      </c>
      <c r="Q116">
        <f t="shared" si="14"/>
        <v>0</v>
      </c>
      <c r="R116">
        <f t="shared" si="15"/>
        <v>7242.18</v>
      </c>
      <c r="S116" t="str">
        <f t="shared" si="16"/>
        <v>Low</v>
      </c>
      <c r="T116" t="str">
        <f t="shared" si="17"/>
        <v>Low</v>
      </c>
      <c r="U116" t="str">
        <f t="shared" si="18"/>
        <v>Normal Discount</v>
      </c>
      <c r="V116" t="str">
        <f t="shared" si="19"/>
        <v>Excellent Sales</v>
      </c>
      <c r="W116">
        <f t="shared" si="20"/>
        <v>99</v>
      </c>
      <c r="X116">
        <f t="shared" si="21"/>
        <v>106</v>
      </c>
      <c r="Y116">
        <f t="shared" si="22"/>
        <v>48</v>
      </c>
      <c r="Z116" t="str">
        <f t="shared" si="23"/>
        <v>Eligible</v>
      </c>
      <c r="AA116" t="str">
        <f t="shared" si="24"/>
        <v>Prriority Order</v>
      </c>
      <c r="AB116" t="str">
        <f t="shared" si="25"/>
        <v>Online</v>
      </c>
    </row>
    <row r="117" spans="1:28">
      <c r="A117" s="5">
        <v>10116</v>
      </c>
      <c r="B117" s="5">
        <v>1724</v>
      </c>
      <c r="C117" s="6">
        <v>45240</v>
      </c>
      <c r="D117" s="6">
        <v>45240</v>
      </c>
      <c r="E117" s="5" t="s">
        <v>82</v>
      </c>
      <c r="F117" s="5" t="s">
        <v>107</v>
      </c>
      <c r="G117" s="5" t="s">
        <v>96</v>
      </c>
      <c r="H117" s="5" t="s">
        <v>84</v>
      </c>
      <c r="I117" s="5" t="s">
        <v>123</v>
      </c>
      <c r="J117" s="5" t="s">
        <v>135</v>
      </c>
      <c r="K117" s="5" t="s">
        <v>113</v>
      </c>
      <c r="L117" s="5">
        <v>7</v>
      </c>
      <c r="M117" s="5">
        <v>978.54</v>
      </c>
      <c r="N117" s="5">
        <v>15</v>
      </c>
      <c r="O117" s="5">
        <v>5822.31</v>
      </c>
      <c r="P117">
        <f t="shared" si="13"/>
        <v>6849.78</v>
      </c>
      <c r="Q117">
        <f t="shared" si="14"/>
        <v>1027.467</v>
      </c>
      <c r="R117">
        <f t="shared" si="15"/>
        <v>5822.313</v>
      </c>
      <c r="S117" t="str">
        <f t="shared" si="16"/>
        <v>High</v>
      </c>
      <c r="T117" t="str">
        <f t="shared" si="17"/>
        <v>High</v>
      </c>
      <c r="U117" t="str">
        <f t="shared" si="18"/>
        <v>Heavy Discount</v>
      </c>
      <c r="V117" t="str">
        <f t="shared" si="19"/>
        <v>Good</v>
      </c>
      <c r="W117">
        <f t="shared" si="20"/>
        <v>99</v>
      </c>
      <c r="X117">
        <f t="shared" si="21"/>
        <v>106</v>
      </c>
      <c r="Y117">
        <f t="shared" si="22"/>
        <v>48</v>
      </c>
      <c r="Z117" t="str">
        <f t="shared" si="23"/>
        <v>Not Eligible</v>
      </c>
      <c r="AA117" t="str">
        <f t="shared" si="24"/>
        <v>Prriority Order</v>
      </c>
      <c r="AB117" t="str">
        <f t="shared" si="25"/>
        <v/>
      </c>
    </row>
    <row r="118" spans="1:28">
      <c r="A118" s="5">
        <v>10117</v>
      </c>
      <c r="B118" s="5">
        <v>1719</v>
      </c>
      <c r="C118" s="6">
        <v>45293</v>
      </c>
      <c r="D118" s="6">
        <v>45293</v>
      </c>
      <c r="E118" s="5" t="s">
        <v>106</v>
      </c>
      <c r="F118" s="5" t="s">
        <v>127</v>
      </c>
      <c r="G118" s="5" t="s">
        <v>83</v>
      </c>
      <c r="H118" s="5" t="s">
        <v>108</v>
      </c>
      <c r="I118" s="5" t="s">
        <v>132</v>
      </c>
      <c r="J118" s="5" t="s">
        <v>133</v>
      </c>
      <c r="K118" s="5" t="s">
        <v>113</v>
      </c>
      <c r="L118" s="5">
        <v>6</v>
      </c>
      <c r="M118" s="5">
        <v>3554.77</v>
      </c>
      <c r="N118" s="5">
        <v>20</v>
      </c>
      <c r="O118" s="5">
        <v>17062.9</v>
      </c>
      <c r="P118">
        <f t="shared" si="13"/>
        <v>21328.62</v>
      </c>
      <c r="Q118">
        <f t="shared" si="14"/>
        <v>4265.724</v>
      </c>
      <c r="R118">
        <f t="shared" si="15"/>
        <v>17062.896</v>
      </c>
      <c r="S118" t="str">
        <f t="shared" si="16"/>
        <v>High</v>
      </c>
      <c r="T118" t="str">
        <f t="shared" si="17"/>
        <v>High</v>
      </c>
      <c r="U118" t="str">
        <f t="shared" si="18"/>
        <v>Heavy Discount</v>
      </c>
      <c r="V118" t="str">
        <f t="shared" si="19"/>
        <v>Excellent Sales</v>
      </c>
      <c r="W118">
        <f t="shared" si="20"/>
        <v>99</v>
      </c>
      <c r="X118">
        <f t="shared" si="21"/>
        <v>106</v>
      </c>
      <c r="Y118">
        <f t="shared" si="22"/>
        <v>48</v>
      </c>
      <c r="Z118" t="str">
        <f t="shared" si="23"/>
        <v>Not Eligible</v>
      </c>
      <c r="AA118" t="str">
        <f t="shared" si="24"/>
        <v>Prriority Order</v>
      </c>
      <c r="AB118" t="str">
        <f t="shared" si="25"/>
        <v>Online</v>
      </c>
    </row>
    <row r="119" spans="1:28">
      <c r="A119" s="5">
        <v>10118</v>
      </c>
      <c r="B119" s="5">
        <v>1748</v>
      </c>
      <c r="C119" s="6">
        <v>45129</v>
      </c>
      <c r="D119" s="6">
        <v>45129</v>
      </c>
      <c r="E119" s="5" t="s">
        <v>88</v>
      </c>
      <c r="F119" s="5" t="s">
        <v>82</v>
      </c>
      <c r="G119" s="5" t="s">
        <v>83</v>
      </c>
      <c r="H119" s="5" t="s">
        <v>110</v>
      </c>
      <c r="I119" s="5" t="s">
        <v>97</v>
      </c>
      <c r="J119" s="5" t="s">
        <v>114</v>
      </c>
      <c r="K119" s="5" t="s">
        <v>99</v>
      </c>
      <c r="L119" s="5">
        <v>2</v>
      </c>
      <c r="M119" s="5">
        <v>2303.71</v>
      </c>
      <c r="N119" s="5">
        <v>20</v>
      </c>
      <c r="O119" s="5">
        <v>3685.94</v>
      </c>
      <c r="P119">
        <f t="shared" si="13"/>
        <v>4607.42</v>
      </c>
      <c r="Q119">
        <f t="shared" si="14"/>
        <v>921.484</v>
      </c>
      <c r="R119">
        <f t="shared" si="15"/>
        <v>3685.936</v>
      </c>
      <c r="S119" t="str">
        <f t="shared" si="16"/>
        <v>Low</v>
      </c>
      <c r="T119" t="str">
        <f t="shared" si="17"/>
        <v>Low</v>
      </c>
      <c r="U119" t="str">
        <f t="shared" si="18"/>
        <v>Heavy Discount</v>
      </c>
      <c r="V119" t="str">
        <f t="shared" si="19"/>
        <v>Average</v>
      </c>
      <c r="W119">
        <f t="shared" si="20"/>
        <v>99</v>
      </c>
      <c r="X119">
        <f t="shared" si="21"/>
        <v>106</v>
      </c>
      <c r="Y119">
        <f t="shared" si="22"/>
        <v>48</v>
      </c>
      <c r="Z119" t="str">
        <f t="shared" si="23"/>
        <v>Not Eligible</v>
      </c>
      <c r="AA119" t="str">
        <f t="shared" si="24"/>
        <v>Normal Order</v>
      </c>
      <c r="AB119" t="str">
        <f t="shared" si="25"/>
        <v>Online</v>
      </c>
    </row>
    <row r="120" spans="1:28">
      <c r="A120" s="5">
        <v>10119</v>
      </c>
      <c r="B120" s="5">
        <v>1337</v>
      </c>
      <c r="C120" s="6">
        <v>44970</v>
      </c>
      <c r="D120" s="6">
        <v>44970</v>
      </c>
      <c r="E120" s="5" t="s">
        <v>82</v>
      </c>
      <c r="F120" s="5" t="s">
        <v>104</v>
      </c>
      <c r="G120" s="5" t="s">
        <v>83</v>
      </c>
      <c r="H120" s="5" t="s">
        <v>101</v>
      </c>
      <c r="I120" s="5" t="s">
        <v>97</v>
      </c>
      <c r="J120" s="5" t="s">
        <v>98</v>
      </c>
      <c r="K120" s="5" t="s">
        <v>99</v>
      </c>
      <c r="L120" s="5">
        <v>8</v>
      </c>
      <c r="M120" s="5">
        <v>3339.68</v>
      </c>
      <c r="N120" s="5">
        <v>0</v>
      </c>
      <c r="O120" s="5">
        <v>26717.44</v>
      </c>
      <c r="P120">
        <f t="shared" si="13"/>
        <v>26717.44</v>
      </c>
      <c r="Q120">
        <f t="shared" si="14"/>
        <v>0</v>
      </c>
      <c r="R120">
        <f t="shared" si="15"/>
        <v>26717.44</v>
      </c>
      <c r="S120" t="str">
        <f t="shared" si="16"/>
        <v>High</v>
      </c>
      <c r="T120" t="str">
        <f t="shared" si="17"/>
        <v>High</v>
      </c>
      <c r="U120" t="str">
        <f t="shared" si="18"/>
        <v>Normal Discount</v>
      </c>
      <c r="V120" t="str">
        <f t="shared" si="19"/>
        <v>Excellent Sales</v>
      </c>
      <c r="W120">
        <f t="shared" si="20"/>
        <v>99</v>
      </c>
      <c r="X120">
        <f t="shared" si="21"/>
        <v>106</v>
      </c>
      <c r="Y120">
        <f t="shared" si="22"/>
        <v>48</v>
      </c>
      <c r="Z120" t="str">
        <f t="shared" si="23"/>
        <v>Eligible</v>
      </c>
      <c r="AA120" t="str">
        <f t="shared" si="24"/>
        <v>Prriority Order</v>
      </c>
      <c r="AB120" t="str">
        <f t="shared" si="25"/>
        <v>Online</v>
      </c>
    </row>
    <row r="121" spans="1:28">
      <c r="A121" s="5">
        <v>10120</v>
      </c>
      <c r="B121" s="5">
        <v>1878</v>
      </c>
      <c r="C121" s="6">
        <v>45187</v>
      </c>
      <c r="D121" s="6">
        <v>45187</v>
      </c>
      <c r="E121" s="5" t="s">
        <v>106</v>
      </c>
      <c r="F121" s="5" t="s">
        <v>89</v>
      </c>
      <c r="G121" s="5" t="s">
        <v>90</v>
      </c>
      <c r="H121" s="5" t="s">
        <v>108</v>
      </c>
      <c r="I121" s="5" t="s">
        <v>123</v>
      </c>
      <c r="J121" s="5" t="s">
        <v>124</v>
      </c>
      <c r="K121" s="5" t="s">
        <v>113</v>
      </c>
      <c r="L121" s="5">
        <v>7</v>
      </c>
      <c r="M121" s="5">
        <v>2894.46</v>
      </c>
      <c r="N121" s="5">
        <v>5</v>
      </c>
      <c r="O121" s="5">
        <v>19248.16</v>
      </c>
      <c r="P121">
        <f t="shared" si="13"/>
        <v>20261.22</v>
      </c>
      <c r="Q121">
        <f t="shared" si="14"/>
        <v>1013.061</v>
      </c>
      <c r="R121">
        <f t="shared" si="15"/>
        <v>19248.159</v>
      </c>
      <c r="S121" t="str">
        <f t="shared" si="16"/>
        <v>High</v>
      </c>
      <c r="T121" t="str">
        <f t="shared" si="17"/>
        <v>High</v>
      </c>
      <c r="U121" t="str">
        <f t="shared" si="18"/>
        <v>Heavy Discount</v>
      </c>
      <c r="V121" t="str">
        <f t="shared" si="19"/>
        <v>Excellent Sales</v>
      </c>
      <c r="W121">
        <f t="shared" si="20"/>
        <v>99</v>
      </c>
      <c r="X121">
        <f t="shared" si="21"/>
        <v>106</v>
      </c>
      <c r="Y121">
        <f t="shared" si="22"/>
        <v>48</v>
      </c>
      <c r="Z121" t="str">
        <f t="shared" si="23"/>
        <v>Not Eligible</v>
      </c>
      <c r="AA121" t="str">
        <f t="shared" si="24"/>
        <v>Prriority Order</v>
      </c>
      <c r="AB121" t="str">
        <f t="shared" si="25"/>
        <v>Online</v>
      </c>
    </row>
    <row r="122" spans="1:28">
      <c r="A122" s="5">
        <v>10121</v>
      </c>
      <c r="B122" s="5">
        <v>1052</v>
      </c>
      <c r="C122" s="6">
        <v>45115</v>
      </c>
      <c r="D122" s="6">
        <v>45115</v>
      </c>
      <c r="E122" s="5" t="s">
        <v>82</v>
      </c>
      <c r="F122" s="5" t="s">
        <v>82</v>
      </c>
      <c r="G122" s="5" t="s">
        <v>90</v>
      </c>
      <c r="H122" s="5" t="s">
        <v>101</v>
      </c>
      <c r="I122" s="5" t="s">
        <v>132</v>
      </c>
      <c r="J122" s="5" t="s">
        <v>137</v>
      </c>
      <c r="K122" s="5" t="s">
        <v>99</v>
      </c>
      <c r="L122" s="5">
        <v>5</v>
      </c>
      <c r="M122" s="5">
        <v>2832.28</v>
      </c>
      <c r="N122" s="5">
        <v>0</v>
      </c>
      <c r="O122" s="5">
        <v>14161.4</v>
      </c>
      <c r="P122">
        <f t="shared" si="13"/>
        <v>14161.4</v>
      </c>
      <c r="Q122">
        <f t="shared" si="14"/>
        <v>0</v>
      </c>
      <c r="R122">
        <f t="shared" si="15"/>
        <v>14161.4</v>
      </c>
      <c r="S122" t="str">
        <f t="shared" si="16"/>
        <v>High</v>
      </c>
      <c r="T122" t="str">
        <f t="shared" si="17"/>
        <v>Medium</v>
      </c>
      <c r="U122" t="str">
        <f t="shared" si="18"/>
        <v>Normal Discount</v>
      </c>
      <c r="V122" t="str">
        <f t="shared" si="19"/>
        <v>Excellent Sales</v>
      </c>
      <c r="W122">
        <f t="shared" si="20"/>
        <v>99</v>
      </c>
      <c r="X122">
        <f t="shared" si="21"/>
        <v>106</v>
      </c>
      <c r="Y122">
        <f t="shared" si="22"/>
        <v>48</v>
      </c>
      <c r="Z122" t="str">
        <f t="shared" si="23"/>
        <v>Eligible</v>
      </c>
      <c r="AA122" t="str">
        <f t="shared" si="24"/>
        <v>Prriority Order</v>
      </c>
      <c r="AB122" t="str">
        <f t="shared" si="25"/>
        <v>Online</v>
      </c>
    </row>
    <row r="123" spans="1:28">
      <c r="A123" s="5">
        <v>10122</v>
      </c>
      <c r="B123" s="5">
        <v>1791</v>
      </c>
      <c r="C123" s="6">
        <v>44991</v>
      </c>
      <c r="D123" s="6">
        <v>44991</v>
      </c>
      <c r="E123" s="5" t="s">
        <v>82</v>
      </c>
      <c r="F123" s="5" t="s">
        <v>104</v>
      </c>
      <c r="G123" s="5" t="s">
        <v>90</v>
      </c>
      <c r="H123" s="5" t="s">
        <v>108</v>
      </c>
      <c r="I123" s="5" t="s">
        <v>115</v>
      </c>
      <c r="J123" s="5" t="s">
        <v>138</v>
      </c>
      <c r="K123" s="5" t="s">
        <v>111</v>
      </c>
      <c r="L123" s="5">
        <v>5</v>
      </c>
      <c r="M123" s="5">
        <v>1398.73</v>
      </c>
      <c r="N123" s="5">
        <v>0</v>
      </c>
      <c r="O123" s="5">
        <v>6993.65</v>
      </c>
      <c r="P123">
        <f t="shared" si="13"/>
        <v>6993.65</v>
      </c>
      <c r="Q123">
        <f t="shared" si="14"/>
        <v>0</v>
      </c>
      <c r="R123">
        <f t="shared" si="15"/>
        <v>6993.65</v>
      </c>
      <c r="S123" t="str">
        <f t="shared" si="16"/>
        <v>High</v>
      </c>
      <c r="T123" t="str">
        <f t="shared" si="17"/>
        <v>Medium</v>
      </c>
      <c r="U123" t="str">
        <f t="shared" si="18"/>
        <v>Normal Discount</v>
      </c>
      <c r="V123" t="str">
        <f t="shared" si="19"/>
        <v>Good</v>
      </c>
      <c r="W123">
        <f t="shared" si="20"/>
        <v>99</v>
      </c>
      <c r="X123">
        <f t="shared" si="21"/>
        <v>106</v>
      </c>
      <c r="Y123">
        <f t="shared" si="22"/>
        <v>48</v>
      </c>
      <c r="Z123" t="str">
        <f t="shared" si="23"/>
        <v>Eligible</v>
      </c>
      <c r="AA123" t="str">
        <f t="shared" si="24"/>
        <v>Normal Order</v>
      </c>
      <c r="AB123" t="str">
        <f t="shared" si="25"/>
        <v>Online</v>
      </c>
    </row>
    <row r="124" spans="1:28">
      <c r="A124" s="5">
        <v>10123</v>
      </c>
      <c r="B124" s="5">
        <v>1921</v>
      </c>
      <c r="C124" s="6">
        <v>44950</v>
      </c>
      <c r="D124" s="6">
        <v>44950</v>
      </c>
      <c r="E124" s="5" t="s">
        <v>88</v>
      </c>
      <c r="F124" s="5" t="s">
        <v>82</v>
      </c>
      <c r="G124" s="5" t="s">
        <v>90</v>
      </c>
      <c r="H124" s="5" t="s">
        <v>110</v>
      </c>
      <c r="I124" s="5" t="s">
        <v>92</v>
      </c>
      <c r="J124" s="5" t="s">
        <v>144</v>
      </c>
      <c r="K124" s="5" t="s">
        <v>113</v>
      </c>
      <c r="L124" s="5">
        <v>7</v>
      </c>
      <c r="M124" s="5">
        <v>1050.5</v>
      </c>
      <c r="N124" s="5">
        <v>20</v>
      </c>
      <c r="O124" s="5">
        <v>5882.8</v>
      </c>
      <c r="P124">
        <f t="shared" si="13"/>
        <v>7353.5</v>
      </c>
      <c r="Q124">
        <f t="shared" si="14"/>
        <v>1470.7</v>
      </c>
      <c r="R124">
        <f t="shared" si="15"/>
        <v>5882.8</v>
      </c>
      <c r="S124" t="str">
        <f t="shared" si="16"/>
        <v>High</v>
      </c>
      <c r="T124" t="str">
        <f t="shared" si="17"/>
        <v>High</v>
      </c>
      <c r="U124" t="str">
        <f t="shared" si="18"/>
        <v>Heavy Discount</v>
      </c>
      <c r="V124" t="str">
        <f t="shared" si="19"/>
        <v>Good</v>
      </c>
      <c r="W124">
        <f t="shared" si="20"/>
        <v>99</v>
      </c>
      <c r="X124">
        <f t="shared" si="21"/>
        <v>106</v>
      </c>
      <c r="Y124">
        <f t="shared" si="22"/>
        <v>47</v>
      </c>
      <c r="Z124" t="str">
        <f t="shared" si="23"/>
        <v>Not Eligible</v>
      </c>
      <c r="AA124" t="str">
        <f t="shared" si="24"/>
        <v>Prriority Order</v>
      </c>
      <c r="AB124" t="str">
        <f t="shared" si="25"/>
        <v>Online</v>
      </c>
    </row>
    <row r="125" spans="1:28">
      <c r="A125" s="5">
        <v>10124</v>
      </c>
      <c r="B125" s="5">
        <v>1216</v>
      </c>
      <c r="C125" s="6">
        <v>45200</v>
      </c>
      <c r="D125" s="6">
        <v>45200</v>
      </c>
      <c r="E125" s="5" t="s">
        <v>82</v>
      </c>
      <c r="F125" s="5" t="s">
        <v>107</v>
      </c>
      <c r="G125" s="5" t="s">
        <v>90</v>
      </c>
      <c r="H125" s="5" t="s">
        <v>84</v>
      </c>
      <c r="I125" s="5" t="s">
        <v>92</v>
      </c>
      <c r="J125" s="5" t="s">
        <v>136</v>
      </c>
      <c r="K125" s="5" t="s">
        <v>99</v>
      </c>
      <c r="L125" s="5">
        <v>9</v>
      </c>
      <c r="M125" s="5">
        <v>961.91</v>
      </c>
      <c r="N125" s="5">
        <v>15</v>
      </c>
      <c r="O125" s="5">
        <v>7358.61</v>
      </c>
      <c r="P125">
        <f t="shared" si="13"/>
        <v>8657.19</v>
      </c>
      <c r="Q125">
        <f t="shared" si="14"/>
        <v>1298.5785</v>
      </c>
      <c r="R125">
        <f t="shared" si="15"/>
        <v>7358.6115</v>
      </c>
      <c r="S125" t="str">
        <f t="shared" si="16"/>
        <v>High</v>
      </c>
      <c r="T125" t="str">
        <f t="shared" si="17"/>
        <v>High</v>
      </c>
      <c r="U125" t="str">
        <f t="shared" si="18"/>
        <v>Heavy Discount</v>
      </c>
      <c r="V125" t="str">
        <f t="shared" si="19"/>
        <v>Excellent Sales</v>
      </c>
      <c r="W125">
        <f t="shared" si="20"/>
        <v>99</v>
      </c>
      <c r="X125">
        <f t="shared" si="21"/>
        <v>106</v>
      </c>
      <c r="Y125">
        <f t="shared" si="22"/>
        <v>47</v>
      </c>
      <c r="Z125" t="str">
        <f t="shared" si="23"/>
        <v>Not Eligible</v>
      </c>
      <c r="AA125" t="str">
        <f t="shared" si="24"/>
        <v>Prriority Order</v>
      </c>
      <c r="AB125" t="str">
        <f t="shared" si="25"/>
        <v>Online</v>
      </c>
    </row>
    <row r="126" spans="1:28">
      <c r="A126" s="5">
        <v>10125</v>
      </c>
      <c r="B126" s="5">
        <v>1763</v>
      </c>
      <c r="C126" s="6">
        <v>45052</v>
      </c>
      <c r="D126" s="6">
        <v>45052</v>
      </c>
      <c r="E126" s="5" t="s">
        <v>82</v>
      </c>
      <c r="F126" s="5" t="s">
        <v>89</v>
      </c>
      <c r="G126" s="5" t="s">
        <v>96</v>
      </c>
      <c r="H126" s="5" t="s">
        <v>110</v>
      </c>
      <c r="I126" s="5" t="s">
        <v>123</v>
      </c>
      <c r="J126" s="5" t="s">
        <v>139</v>
      </c>
      <c r="K126" s="5" t="s">
        <v>113</v>
      </c>
      <c r="L126" s="5">
        <v>9</v>
      </c>
      <c r="M126" s="5">
        <v>3450.19</v>
      </c>
      <c r="N126" s="5">
        <v>0</v>
      </c>
      <c r="O126" s="5">
        <v>31051.71</v>
      </c>
      <c r="P126">
        <f t="shared" si="13"/>
        <v>31051.71</v>
      </c>
      <c r="Q126">
        <f t="shared" si="14"/>
        <v>0</v>
      </c>
      <c r="R126">
        <f t="shared" si="15"/>
        <v>31051.71</v>
      </c>
      <c r="S126" t="str">
        <f t="shared" si="16"/>
        <v>High</v>
      </c>
      <c r="T126" t="str">
        <f t="shared" si="17"/>
        <v>High</v>
      </c>
      <c r="U126" t="str">
        <f t="shared" si="18"/>
        <v>Normal Discount</v>
      </c>
      <c r="V126" t="str">
        <f t="shared" si="19"/>
        <v>Excellent Sales</v>
      </c>
      <c r="W126">
        <f t="shared" si="20"/>
        <v>99</v>
      </c>
      <c r="X126">
        <f t="shared" si="21"/>
        <v>106</v>
      </c>
      <c r="Y126">
        <f t="shared" si="22"/>
        <v>47</v>
      </c>
      <c r="Z126" t="str">
        <f t="shared" si="23"/>
        <v>Eligible</v>
      </c>
      <c r="AA126" t="str">
        <f t="shared" si="24"/>
        <v>Prriority Order</v>
      </c>
      <c r="AB126" t="str">
        <f t="shared" si="25"/>
        <v/>
      </c>
    </row>
    <row r="127" spans="1:28">
      <c r="A127" s="5">
        <v>10126</v>
      </c>
      <c r="B127" s="5">
        <v>1187</v>
      </c>
      <c r="C127" s="6">
        <v>45002</v>
      </c>
      <c r="D127" s="6">
        <v>45002</v>
      </c>
      <c r="E127" s="5" t="s">
        <v>88</v>
      </c>
      <c r="F127" s="5" t="s">
        <v>127</v>
      </c>
      <c r="G127" s="5" t="s">
        <v>90</v>
      </c>
      <c r="H127" s="5" t="s">
        <v>84</v>
      </c>
      <c r="I127" s="5" t="s">
        <v>97</v>
      </c>
      <c r="J127" s="5" t="s">
        <v>114</v>
      </c>
      <c r="K127" s="5" t="s">
        <v>94</v>
      </c>
      <c r="L127" s="5">
        <v>9</v>
      </c>
      <c r="M127" s="5">
        <v>3308.64</v>
      </c>
      <c r="N127" s="5">
        <v>5</v>
      </c>
      <c r="O127" s="5">
        <v>28288.87</v>
      </c>
      <c r="P127">
        <f t="shared" si="13"/>
        <v>29777.76</v>
      </c>
      <c r="Q127">
        <f t="shared" si="14"/>
        <v>1488.888</v>
      </c>
      <c r="R127">
        <f t="shared" si="15"/>
        <v>28288.872</v>
      </c>
      <c r="S127" t="str">
        <f t="shared" si="16"/>
        <v>High</v>
      </c>
      <c r="T127" t="str">
        <f t="shared" si="17"/>
        <v>High</v>
      </c>
      <c r="U127" t="str">
        <f t="shared" si="18"/>
        <v>Heavy Discount</v>
      </c>
      <c r="V127" t="str">
        <f t="shared" si="19"/>
        <v>Excellent Sales</v>
      </c>
      <c r="W127">
        <f t="shared" si="20"/>
        <v>99</v>
      </c>
      <c r="X127">
        <f t="shared" si="21"/>
        <v>106</v>
      </c>
      <c r="Y127">
        <f t="shared" si="22"/>
        <v>47</v>
      </c>
      <c r="Z127" t="str">
        <f t="shared" si="23"/>
        <v>Not Eligible</v>
      </c>
      <c r="AA127" t="str">
        <f t="shared" si="24"/>
        <v>Prriority Order</v>
      </c>
      <c r="AB127" t="str">
        <f t="shared" si="25"/>
        <v>Online</v>
      </c>
    </row>
    <row r="128" spans="1:28">
      <c r="A128" s="5">
        <v>10127</v>
      </c>
      <c r="B128" s="5">
        <v>1379</v>
      </c>
      <c r="C128" s="6">
        <v>44935</v>
      </c>
      <c r="D128" s="6">
        <v>44935</v>
      </c>
      <c r="E128" s="5" t="s">
        <v>103</v>
      </c>
      <c r="F128" s="5" t="s">
        <v>127</v>
      </c>
      <c r="G128" s="5" t="s">
        <v>90</v>
      </c>
      <c r="H128" s="5" t="s">
        <v>84</v>
      </c>
      <c r="I128" s="5" t="s">
        <v>97</v>
      </c>
      <c r="J128" s="5" t="s">
        <v>105</v>
      </c>
      <c r="K128" s="5" t="s">
        <v>87</v>
      </c>
      <c r="L128" s="5">
        <v>6</v>
      </c>
      <c r="M128" s="5">
        <v>1846.21</v>
      </c>
      <c r="N128" s="5">
        <v>10</v>
      </c>
      <c r="O128" s="5">
        <v>9969.53</v>
      </c>
      <c r="P128">
        <f t="shared" si="13"/>
        <v>11077.26</v>
      </c>
      <c r="Q128">
        <f t="shared" si="14"/>
        <v>1107.726</v>
      </c>
      <c r="R128">
        <f t="shared" si="15"/>
        <v>9969.534</v>
      </c>
      <c r="S128" t="str">
        <f t="shared" si="16"/>
        <v>High</v>
      </c>
      <c r="T128" t="str">
        <f t="shared" si="17"/>
        <v>High</v>
      </c>
      <c r="U128" t="str">
        <f t="shared" si="18"/>
        <v>Heavy Discount</v>
      </c>
      <c r="V128" t="str">
        <f t="shared" si="19"/>
        <v>Excellent Sales</v>
      </c>
      <c r="W128">
        <f t="shared" si="20"/>
        <v>99</v>
      </c>
      <c r="X128">
        <f t="shared" si="21"/>
        <v>106</v>
      </c>
      <c r="Y128">
        <f t="shared" si="22"/>
        <v>47</v>
      </c>
      <c r="Z128" t="str">
        <f t="shared" si="23"/>
        <v>Not Eligible</v>
      </c>
      <c r="AA128" t="str">
        <f t="shared" si="24"/>
        <v>Prriority Order</v>
      </c>
      <c r="AB128" t="str">
        <f t="shared" si="25"/>
        <v>Online</v>
      </c>
    </row>
    <row r="129" spans="1:28">
      <c r="A129" s="5">
        <v>10128</v>
      </c>
      <c r="B129" s="5">
        <v>1492</v>
      </c>
      <c r="C129" s="6">
        <v>45148</v>
      </c>
      <c r="D129" s="6">
        <v>45148</v>
      </c>
      <c r="E129" s="5" t="s">
        <v>112</v>
      </c>
      <c r="F129" s="5" t="s">
        <v>104</v>
      </c>
      <c r="G129" s="5" t="s">
        <v>96</v>
      </c>
      <c r="H129" s="5" t="s">
        <v>101</v>
      </c>
      <c r="I129" s="5" t="s">
        <v>92</v>
      </c>
      <c r="J129" s="5" t="s">
        <v>136</v>
      </c>
      <c r="K129" s="5" t="s">
        <v>113</v>
      </c>
      <c r="L129" s="5">
        <v>6</v>
      </c>
      <c r="M129" s="5">
        <v>659.76</v>
      </c>
      <c r="N129" s="5">
        <v>0</v>
      </c>
      <c r="O129" s="5">
        <v>3958.56</v>
      </c>
      <c r="P129">
        <f t="shared" si="13"/>
        <v>3958.56</v>
      </c>
      <c r="Q129">
        <f t="shared" si="14"/>
        <v>0</v>
      </c>
      <c r="R129">
        <f t="shared" si="15"/>
        <v>3958.56</v>
      </c>
      <c r="S129" t="str">
        <f t="shared" si="16"/>
        <v>High</v>
      </c>
      <c r="T129" t="str">
        <f t="shared" si="17"/>
        <v>High</v>
      </c>
      <c r="U129" t="str">
        <f t="shared" si="18"/>
        <v>Normal Discount</v>
      </c>
      <c r="V129" t="str">
        <f t="shared" si="19"/>
        <v>Average</v>
      </c>
      <c r="W129">
        <f t="shared" si="20"/>
        <v>99</v>
      </c>
      <c r="X129">
        <f t="shared" si="21"/>
        <v>106</v>
      </c>
      <c r="Y129">
        <f t="shared" si="22"/>
        <v>47</v>
      </c>
      <c r="Z129" t="str">
        <f t="shared" si="23"/>
        <v>Eligible</v>
      </c>
      <c r="AA129" t="str">
        <f t="shared" si="24"/>
        <v>Prriority Order</v>
      </c>
      <c r="AB129" t="str">
        <f t="shared" si="25"/>
        <v/>
      </c>
    </row>
    <row r="130" spans="1:28">
      <c r="A130" s="5">
        <v>10129</v>
      </c>
      <c r="B130" s="5">
        <v>1040</v>
      </c>
      <c r="C130" s="6">
        <v>44946</v>
      </c>
      <c r="D130" s="6">
        <v>44946</v>
      </c>
      <c r="E130" s="5" t="s">
        <v>100</v>
      </c>
      <c r="F130" s="5" t="s">
        <v>95</v>
      </c>
      <c r="G130" s="5" t="s">
        <v>90</v>
      </c>
      <c r="H130" s="5" t="s">
        <v>110</v>
      </c>
      <c r="I130" s="5" t="s">
        <v>123</v>
      </c>
      <c r="J130" s="5" t="s">
        <v>131</v>
      </c>
      <c r="K130" s="5" t="s">
        <v>87</v>
      </c>
      <c r="L130" s="5">
        <v>3</v>
      </c>
      <c r="M130" s="5">
        <v>1621.67</v>
      </c>
      <c r="N130" s="5">
        <v>0</v>
      </c>
      <c r="O130" s="5">
        <v>4865.01</v>
      </c>
      <c r="P130">
        <f t="shared" si="13"/>
        <v>4865.01</v>
      </c>
      <c r="Q130">
        <f t="shared" si="14"/>
        <v>0</v>
      </c>
      <c r="R130">
        <f t="shared" si="15"/>
        <v>4865.01</v>
      </c>
      <c r="S130" t="str">
        <f t="shared" si="16"/>
        <v>Low</v>
      </c>
      <c r="T130" t="str">
        <f t="shared" si="17"/>
        <v>Low</v>
      </c>
      <c r="U130" t="str">
        <f t="shared" si="18"/>
        <v>Normal Discount</v>
      </c>
      <c r="V130" t="str">
        <f t="shared" si="19"/>
        <v>Good</v>
      </c>
      <c r="W130">
        <f t="shared" si="20"/>
        <v>99</v>
      </c>
      <c r="X130">
        <f t="shared" si="21"/>
        <v>106</v>
      </c>
      <c r="Y130">
        <f t="shared" si="22"/>
        <v>47</v>
      </c>
      <c r="Z130" t="str">
        <f t="shared" si="23"/>
        <v>Eligible</v>
      </c>
      <c r="AA130" t="str">
        <f t="shared" si="24"/>
        <v>Normal Order</v>
      </c>
      <c r="AB130" t="str">
        <f t="shared" si="25"/>
        <v>Online</v>
      </c>
    </row>
    <row r="131" spans="1:28">
      <c r="A131" s="5">
        <v>10130</v>
      </c>
      <c r="B131" s="5">
        <v>1156</v>
      </c>
      <c r="C131" s="6">
        <v>44938</v>
      </c>
      <c r="D131" s="6">
        <v>44938</v>
      </c>
      <c r="E131" s="5" t="s">
        <v>81</v>
      </c>
      <c r="F131" s="5" t="s">
        <v>107</v>
      </c>
      <c r="G131" s="5" t="s">
        <v>83</v>
      </c>
      <c r="H131" s="5" t="s">
        <v>108</v>
      </c>
      <c r="I131" s="5" t="s">
        <v>132</v>
      </c>
      <c r="J131" s="5" t="s">
        <v>137</v>
      </c>
      <c r="K131" s="5" t="s">
        <v>99</v>
      </c>
      <c r="L131" s="5">
        <v>1</v>
      </c>
      <c r="M131" s="5">
        <v>2534.47</v>
      </c>
      <c r="N131" s="5">
        <v>5</v>
      </c>
      <c r="O131" s="5">
        <v>2407.75</v>
      </c>
      <c r="P131">
        <f t="shared" ref="P131:P194" si="26">L131*M131</f>
        <v>2534.47</v>
      </c>
      <c r="Q131">
        <f t="shared" ref="Q131:Q194" si="27">P131*(N131/100)</f>
        <v>126.7235</v>
      </c>
      <c r="R131">
        <f t="shared" ref="R131:R194" si="28">P131-Q131</f>
        <v>2407.7465</v>
      </c>
      <c r="S131" t="str">
        <f t="shared" ref="S131:S194" si="29">IF(L131&gt;=5,"High","Low")</f>
        <v>Low</v>
      </c>
      <c r="T131" t="str">
        <f t="shared" ref="T131:T194" si="30">IF(L131&gt;5,"High",IF(L131=5,"Medium","Low"))</f>
        <v>Low</v>
      </c>
      <c r="U131" t="str">
        <f t="shared" ref="U131:U194" si="31">IF(N131&gt;10%,"Heavy Discount","Normal Discount")</f>
        <v>Heavy Discount</v>
      </c>
      <c r="V131" t="str">
        <f t="shared" ref="V131:V194" si="32">IF(O131&gt;=7000,"Excellent Sales",IF(O131&gt;=4000,"Good","Average"))</f>
        <v>Average</v>
      </c>
      <c r="W131">
        <f t="shared" ref="W131:W194" si="33">COUNTIF($I$2:$I$501,"Beauty")</f>
        <v>99</v>
      </c>
      <c r="X131">
        <f t="shared" ref="X131:X194" si="34">COUNTIF($N$2:$N$501,"&gt;15")</f>
        <v>106</v>
      </c>
      <c r="Y131">
        <f t="shared" ref="Y131:Y194" si="35">COUNTIFS(I131:I630,"Electronics",G131:G630,"&lt;&gt;Marketplace")</f>
        <v>47</v>
      </c>
      <c r="Z131" t="str">
        <f t="shared" ref="Z131:Z194" si="36">IF(AND(O131:O630,N131&lt;10%),"Eligible","Not Eligible")</f>
        <v>Not Eligible</v>
      </c>
      <c r="AA131" t="str">
        <f t="shared" ref="AA131:AA194" si="37">IF(OR(O131&gt;7000,L131&gt;5),"Prriority Order","Normal Order")</f>
        <v>Normal Order</v>
      </c>
      <c r="AB131" t="str">
        <f t="shared" ref="AB131:AB194" si="38">IF(G131&lt;&gt;"Marketplace","Online","")</f>
        <v>Online</v>
      </c>
    </row>
    <row r="132" spans="1:28">
      <c r="A132" s="5">
        <v>10131</v>
      </c>
      <c r="B132" s="5">
        <v>1014</v>
      </c>
      <c r="C132" s="6">
        <v>45151</v>
      </c>
      <c r="D132" s="6">
        <v>45151</v>
      </c>
      <c r="E132" s="5" t="s">
        <v>100</v>
      </c>
      <c r="F132" s="5" t="s">
        <v>104</v>
      </c>
      <c r="G132" s="5" t="s">
        <v>90</v>
      </c>
      <c r="H132" s="5" t="s">
        <v>110</v>
      </c>
      <c r="I132" s="5" t="s">
        <v>97</v>
      </c>
      <c r="J132" s="5" t="s">
        <v>98</v>
      </c>
      <c r="K132" s="5" t="s">
        <v>87</v>
      </c>
      <c r="L132" s="5">
        <v>7</v>
      </c>
      <c r="M132" s="5">
        <v>1899.45</v>
      </c>
      <c r="N132" s="5">
        <v>15</v>
      </c>
      <c r="O132" s="5">
        <v>11301.73</v>
      </c>
      <c r="P132">
        <f t="shared" si="26"/>
        <v>13296.15</v>
      </c>
      <c r="Q132">
        <f t="shared" si="27"/>
        <v>1994.4225</v>
      </c>
      <c r="R132">
        <f t="shared" si="28"/>
        <v>11301.7275</v>
      </c>
      <c r="S132" t="str">
        <f t="shared" si="29"/>
        <v>High</v>
      </c>
      <c r="T132" t="str">
        <f t="shared" si="30"/>
        <v>High</v>
      </c>
      <c r="U132" t="str">
        <f t="shared" si="31"/>
        <v>Heavy Discount</v>
      </c>
      <c r="V132" t="str">
        <f t="shared" si="32"/>
        <v>Excellent Sales</v>
      </c>
      <c r="W132">
        <f t="shared" si="33"/>
        <v>99</v>
      </c>
      <c r="X132">
        <f t="shared" si="34"/>
        <v>106</v>
      </c>
      <c r="Y132">
        <f t="shared" si="35"/>
        <v>47</v>
      </c>
      <c r="Z132" t="str">
        <f t="shared" si="36"/>
        <v>Not Eligible</v>
      </c>
      <c r="AA132" t="str">
        <f t="shared" si="37"/>
        <v>Prriority Order</v>
      </c>
      <c r="AB132" t="str">
        <f t="shared" si="38"/>
        <v>Online</v>
      </c>
    </row>
    <row r="133" spans="1:28">
      <c r="A133" s="5">
        <v>10132</v>
      </c>
      <c r="B133" s="5">
        <v>1812</v>
      </c>
      <c r="C133" s="6">
        <v>45163</v>
      </c>
      <c r="D133" s="6">
        <v>45163</v>
      </c>
      <c r="E133" s="5" t="s">
        <v>100</v>
      </c>
      <c r="F133" s="5" t="s">
        <v>95</v>
      </c>
      <c r="G133" s="5" t="s">
        <v>90</v>
      </c>
      <c r="H133" s="5" t="s">
        <v>101</v>
      </c>
      <c r="I133" s="5" t="s">
        <v>132</v>
      </c>
      <c r="J133" s="5" t="s">
        <v>133</v>
      </c>
      <c r="K133" s="5" t="s">
        <v>113</v>
      </c>
      <c r="L133" s="5">
        <v>4</v>
      </c>
      <c r="M133" s="5">
        <v>3153.73</v>
      </c>
      <c r="N133" s="5">
        <v>0</v>
      </c>
      <c r="O133" s="5">
        <v>12614.92</v>
      </c>
      <c r="P133">
        <f t="shared" si="26"/>
        <v>12614.92</v>
      </c>
      <c r="Q133">
        <f t="shared" si="27"/>
        <v>0</v>
      </c>
      <c r="R133">
        <f t="shared" si="28"/>
        <v>12614.92</v>
      </c>
      <c r="S133" t="str">
        <f t="shared" si="29"/>
        <v>Low</v>
      </c>
      <c r="T133" t="str">
        <f t="shared" si="30"/>
        <v>Low</v>
      </c>
      <c r="U133" t="str">
        <f t="shared" si="31"/>
        <v>Normal Discount</v>
      </c>
      <c r="V133" t="str">
        <f t="shared" si="32"/>
        <v>Excellent Sales</v>
      </c>
      <c r="W133">
        <f t="shared" si="33"/>
        <v>99</v>
      </c>
      <c r="X133">
        <f t="shared" si="34"/>
        <v>106</v>
      </c>
      <c r="Y133">
        <f t="shared" si="35"/>
        <v>47</v>
      </c>
      <c r="Z133" t="str">
        <f t="shared" si="36"/>
        <v>Eligible</v>
      </c>
      <c r="AA133" t="str">
        <f t="shared" si="37"/>
        <v>Prriority Order</v>
      </c>
      <c r="AB133" t="str">
        <f t="shared" si="38"/>
        <v>Online</v>
      </c>
    </row>
    <row r="134" spans="1:28">
      <c r="A134" s="5">
        <v>10133</v>
      </c>
      <c r="B134" s="5">
        <v>1064</v>
      </c>
      <c r="C134" s="6">
        <v>45267</v>
      </c>
      <c r="D134" s="6">
        <v>45267</v>
      </c>
      <c r="E134" s="5" t="s">
        <v>106</v>
      </c>
      <c r="F134" s="5" t="s">
        <v>82</v>
      </c>
      <c r="G134" s="5" t="s">
        <v>83</v>
      </c>
      <c r="H134" s="5" t="s">
        <v>84</v>
      </c>
      <c r="I134" s="5" t="s">
        <v>97</v>
      </c>
      <c r="J134" s="5" t="s">
        <v>114</v>
      </c>
      <c r="K134" s="5" t="s">
        <v>94</v>
      </c>
      <c r="L134" s="5">
        <v>1</v>
      </c>
      <c r="M134" s="5">
        <v>3990.85</v>
      </c>
      <c r="N134" s="5">
        <v>0</v>
      </c>
      <c r="O134" s="5">
        <v>3990.85</v>
      </c>
      <c r="P134">
        <f t="shared" si="26"/>
        <v>3990.85</v>
      </c>
      <c r="Q134">
        <f t="shared" si="27"/>
        <v>0</v>
      </c>
      <c r="R134">
        <f t="shared" si="28"/>
        <v>3990.85</v>
      </c>
      <c r="S134" t="str">
        <f t="shared" si="29"/>
        <v>Low</v>
      </c>
      <c r="T134" t="str">
        <f t="shared" si="30"/>
        <v>Low</v>
      </c>
      <c r="U134" t="str">
        <f t="shared" si="31"/>
        <v>Normal Discount</v>
      </c>
      <c r="V134" t="str">
        <f t="shared" si="32"/>
        <v>Average</v>
      </c>
      <c r="W134">
        <f t="shared" si="33"/>
        <v>99</v>
      </c>
      <c r="X134">
        <f t="shared" si="34"/>
        <v>106</v>
      </c>
      <c r="Y134">
        <f t="shared" si="35"/>
        <v>47</v>
      </c>
      <c r="Z134" t="str">
        <f t="shared" si="36"/>
        <v>Eligible</v>
      </c>
      <c r="AA134" t="str">
        <f t="shared" si="37"/>
        <v>Normal Order</v>
      </c>
      <c r="AB134" t="str">
        <f t="shared" si="38"/>
        <v>Online</v>
      </c>
    </row>
    <row r="135" spans="1:28">
      <c r="A135" s="5">
        <v>10134</v>
      </c>
      <c r="B135" s="5">
        <v>1856</v>
      </c>
      <c r="C135" s="6">
        <v>45113</v>
      </c>
      <c r="D135" s="6">
        <v>45113</v>
      </c>
      <c r="E135" s="5" t="s">
        <v>112</v>
      </c>
      <c r="F135" s="5" t="s">
        <v>107</v>
      </c>
      <c r="G135" s="5" t="s">
        <v>83</v>
      </c>
      <c r="H135" s="5" t="s">
        <v>101</v>
      </c>
      <c r="I135" s="5" t="s">
        <v>97</v>
      </c>
      <c r="J135" s="5" t="s">
        <v>140</v>
      </c>
      <c r="K135" s="5" t="s">
        <v>99</v>
      </c>
      <c r="L135" s="5">
        <v>8</v>
      </c>
      <c r="M135" s="5">
        <v>885.86</v>
      </c>
      <c r="N135" s="5">
        <v>15</v>
      </c>
      <c r="O135" s="5">
        <v>6023.85</v>
      </c>
      <c r="P135">
        <f t="shared" si="26"/>
        <v>7086.88</v>
      </c>
      <c r="Q135">
        <f t="shared" si="27"/>
        <v>1063.032</v>
      </c>
      <c r="R135">
        <f t="shared" si="28"/>
        <v>6023.848</v>
      </c>
      <c r="S135" t="str">
        <f t="shared" si="29"/>
        <v>High</v>
      </c>
      <c r="T135" t="str">
        <f t="shared" si="30"/>
        <v>High</v>
      </c>
      <c r="U135" t="str">
        <f t="shared" si="31"/>
        <v>Heavy Discount</v>
      </c>
      <c r="V135" t="str">
        <f t="shared" si="32"/>
        <v>Good</v>
      </c>
      <c r="W135">
        <f t="shared" si="33"/>
        <v>99</v>
      </c>
      <c r="X135">
        <f t="shared" si="34"/>
        <v>106</v>
      </c>
      <c r="Y135">
        <f t="shared" si="35"/>
        <v>47</v>
      </c>
      <c r="Z135" t="str">
        <f t="shared" si="36"/>
        <v>Not Eligible</v>
      </c>
      <c r="AA135" t="str">
        <f t="shared" si="37"/>
        <v>Prriority Order</v>
      </c>
      <c r="AB135" t="str">
        <f t="shared" si="38"/>
        <v>Online</v>
      </c>
    </row>
    <row r="136" spans="1:28">
      <c r="A136" s="5">
        <v>10135</v>
      </c>
      <c r="B136" s="5">
        <v>1838</v>
      </c>
      <c r="C136" s="6">
        <v>44990</v>
      </c>
      <c r="D136" s="6">
        <v>44990</v>
      </c>
      <c r="E136" s="5" t="s">
        <v>106</v>
      </c>
      <c r="F136" s="5" t="s">
        <v>82</v>
      </c>
      <c r="G136" s="5" t="s">
        <v>83</v>
      </c>
      <c r="H136" s="5" t="s">
        <v>91</v>
      </c>
      <c r="I136" s="5" t="s">
        <v>85</v>
      </c>
      <c r="J136" s="5" t="s">
        <v>109</v>
      </c>
      <c r="K136" s="5" t="s">
        <v>113</v>
      </c>
      <c r="L136" s="5">
        <v>6</v>
      </c>
      <c r="M136" s="5">
        <v>1919.66</v>
      </c>
      <c r="N136" s="5">
        <v>5</v>
      </c>
      <c r="O136" s="5">
        <v>10942.06</v>
      </c>
      <c r="P136">
        <f t="shared" si="26"/>
        <v>11517.96</v>
      </c>
      <c r="Q136">
        <f t="shared" si="27"/>
        <v>575.898</v>
      </c>
      <c r="R136">
        <f t="shared" si="28"/>
        <v>10942.062</v>
      </c>
      <c r="S136" t="str">
        <f t="shared" si="29"/>
        <v>High</v>
      </c>
      <c r="T136" t="str">
        <f t="shared" si="30"/>
        <v>High</v>
      </c>
      <c r="U136" t="str">
        <f t="shared" si="31"/>
        <v>Heavy Discount</v>
      </c>
      <c r="V136" t="str">
        <f t="shared" si="32"/>
        <v>Excellent Sales</v>
      </c>
      <c r="W136">
        <f t="shared" si="33"/>
        <v>99</v>
      </c>
      <c r="X136">
        <f t="shared" si="34"/>
        <v>106</v>
      </c>
      <c r="Y136">
        <f t="shared" si="35"/>
        <v>47</v>
      </c>
      <c r="Z136" t="str">
        <f t="shared" si="36"/>
        <v>Not Eligible</v>
      </c>
      <c r="AA136" t="str">
        <f t="shared" si="37"/>
        <v>Prriority Order</v>
      </c>
      <c r="AB136" t="str">
        <f t="shared" si="38"/>
        <v>Online</v>
      </c>
    </row>
    <row r="137" spans="1:28">
      <c r="A137" s="5">
        <v>10136</v>
      </c>
      <c r="B137" s="5">
        <v>1520</v>
      </c>
      <c r="C137" s="6">
        <v>45181</v>
      </c>
      <c r="D137" s="6">
        <v>45181</v>
      </c>
      <c r="E137" s="5" t="s">
        <v>112</v>
      </c>
      <c r="F137" s="5" t="s">
        <v>89</v>
      </c>
      <c r="G137" s="5" t="s">
        <v>83</v>
      </c>
      <c r="H137" s="5" t="s">
        <v>91</v>
      </c>
      <c r="I137" s="5" t="s">
        <v>97</v>
      </c>
      <c r="J137" s="5" t="s">
        <v>105</v>
      </c>
      <c r="K137" s="5" t="s">
        <v>99</v>
      </c>
      <c r="L137" s="5">
        <v>6</v>
      </c>
      <c r="M137" s="5">
        <v>1809.29</v>
      </c>
      <c r="N137" s="5">
        <v>0</v>
      </c>
      <c r="O137" s="5">
        <v>10855.74</v>
      </c>
      <c r="P137">
        <f t="shared" si="26"/>
        <v>10855.74</v>
      </c>
      <c r="Q137">
        <f t="shared" si="27"/>
        <v>0</v>
      </c>
      <c r="R137">
        <f t="shared" si="28"/>
        <v>10855.74</v>
      </c>
      <c r="S137" t="str">
        <f t="shared" si="29"/>
        <v>High</v>
      </c>
      <c r="T137" t="str">
        <f t="shared" si="30"/>
        <v>High</v>
      </c>
      <c r="U137" t="str">
        <f t="shared" si="31"/>
        <v>Normal Discount</v>
      </c>
      <c r="V137" t="str">
        <f t="shared" si="32"/>
        <v>Excellent Sales</v>
      </c>
      <c r="W137">
        <f t="shared" si="33"/>
        <v>99</v>
      </c>
      <c r="X137">
        <f t="shared" si="34"/>
        <v>106</v>
      </c>
      <c r="Y137">
        <f t="shared" si="35"/>
        <v>47</v>
      </c>
      <c r="Z137" t="str">
        <f t="shared" si="36"/>
        <v>Eligible</v>
      </c>
      <c r="AA137" t="str">
        <f t="shared" si="37"/>
        <v>Prriority Order</v>
      </c>
      <c r="AB137" t="str">
        <f t="shared" si="38"/>
        <v>Online</v>
      </c>
    </row>
    <row r="138" spans="1:28">
      <c r="A138" s="5">
        <v>10137</v>
      </c>
      <c r="B138" s="5">
        <v>1343</v>
      </c>
      <c r="C138" s="6">
        <v>44958</v>
      </c>
      <c r="D138" s="6">
        <v>44958</v>
      </c>
      <c r="E138" s="5" t="s">
        <v>88</v>
      </c>
      <c r="F138" s="5" t="s">
        <v>107</v>
      </c>
      <c r="G138" s="5" t="s">
        <v>90</v>
      </c>
      <c r="H138" s="5" t="s">
        <v>108</v>
      </c>
      <c r="I138" s="5" t="s">
        <v>115</v>
      </c>
      <c r="J138" s="5" t="s">
        <v>116</v>
      </c>
      <c r="K138" s="5" t="s">
        <v>111</v>
      </c>
      <c r="L138" s="5">
        <v>2</v>
      </c>
      <c r="M138" s="5">
        <v>1322.3</v>
      </c>
      <c r="N138" s="5">
        <v>15</v>
      </c>
      <c r="O138" s="5">
        <v>2247.91</v>
      </c>
      <c r="P138">
        <f t="shared" si="26"/>
        <v>2644.6</v>
      </c>
      <c r="Q138">
        <f t="shared" si="27"/>
        <v>396.69</v>
      </c>
      <c r="R138">
        <f t="shared" si="28"/>
        <v>2247.91</v>
      </c>
      <c r="S138" t="str">
        <f t="shared" si="29"/>
        <v>Low</v>
      </c>
      <c r="T138" t="str">
        <f t="shared" si="30"/>
        <v>Low</v>
      </c>
      <c r="U138" t="str">
        <f t="shared" si="31"/>
        <v>Heavy Discount</v>
      </c>
      <c r="V138" t="str">
        <f t="shared" si="32"/>
        <v>Average</v>
      </c>
      <c r="W138">
        <f t="shared" si="33"/>
        <v>99</v>
      </c>
      <c r="X138">
        <f t="shared" si="34"/>
        <v>106</v>
      </c>
      <c r="Y138">
        <f t="shared" si="35"/>
        <v>47</v>
      </c>
      <c r="Z138" t="str">
        <f t="shared" si="36"/>
        <v>Not Eligible</v>
      </c>
      <c r="AA138" t="str">
        <f t="shared" si="37"/>
        <v>Normal Order</v>
      </c>
      <c r="AB138" t="str">
        <f t="shared" si="38"/>
        <v>Online</v>
      </c>
    </row>
    <row r="139" spans="1:28">
      <c r="A139" s="5">
        <v>10138</v>
      </c>
      <c r="B139" s="5">
        <v>1128</v>
      </c>
      <c r="C139" s="6">
        <v>45093</v>
      </c>
      <c r="D139" s="6">
        <v>45093</v>
      </c>
      <c r="E139" s="5" t="s">
        <v>88</v>
      </c>
      <c r="F139" s="5" t="s">
        <v>95</v>
      </c>
      <c r="G139" s="5" t="s">
        <v>83</v>
      </c>
      <c r="H139" s="5" t="s">
        <v>101</v>
      </c>
      <c r="I139" s="5" t="s">
        <v>123</v>
      </c>
      <c r="J139" s="5" t="s">
        <v>124</v>
      </c>
      <c r="K139" s="5" t="s">
        <v>87</v>
      </c>
      <c r="L139" s="5">
        <v>1</v>
      </c>
      <c r="M139" s="5">
        <v>912.67</v>
      </c>
      <c r="N139" s="5">
        <v>0</v>
      </c>
      <c r="O139" s="5">
        <v>912.67</v>
      </c>
      <c r="P139">
        <f t="shared" si="26"/>
        <v>912.67</v>
      </c>
      <c r="Q139">
        <f t="shared" si="27"/>
        <v>0</v>
      </c>
      <c r="R139">
        <f t="shared" si="28"/>
        <v>912.67</v>
      </c>
      <c r="S139" t="str">
        <f t="shared" si="29"/>
        <v>Low</v>
      </c>
      <c r="T139" t="str">
        <f t="shared" si="30"/>
        <v>Low</v>
      </c>
      <c r="U139" t="str">
        <f t="shared" si="31"/>
        <v>Normal Discount</v>
      </c>
      <c r="V139" t="str">
        <f t="shared" si="32"/>
        <v>Average</v>
      </c>
      <c r="W139">
        <f t="shared" si="33"/>
        <v>99</v>
      </c>
      <c r="X139">
        <f t="shared" si="34"/>
        <v>106</v>
      </c>
      <c r="Y139">
        <f t="shared" si="35"/>
        <v>46</v>
      </c>
      <c r="Z139" t="str">
        <f t="shared" si="36"/>
        <v>Eligible</v>
      </c>
      <c r="AA139" t="str">
        <f t="shared" si="37"/>
        <v>Normal Order</v>
      </c>
      <c r="AB139" t="str">
        <f t="shared" si="38"/>
        <v>Online</v>
      </c>
    </row>
    <row r="140" spans="1:28">
      <c r="A140" s="5">
        <v>10139</v>
      </c>
      <c r="B140" s="5">
        <v>1647</v>
      </c>
      <c r="C140" s="6">
        <v>45087</v>
      </c>
      <c r="D140" s="6">
        <v>45087</v>
      </c>
      <c r="E140" s="5" t="s">
        <v>112</v>
      </c>
      <c r="F140" s="5" t="s">
        <v>89</v>
      </c>
      <c r="G140" s="5" t="s">
        <v>83</v>
      </c>
      <c r="H140" s="5" t="s">
        <v>108</v>
      </c>
      <c r="I140" s="5" t="s">
        <v>123</v>
      </c>
      <c r="J140" s="5" t="s">
        <v>124</v>
      </c>
      <c r="K140" s="5" t="s">
        <v>111</v>
      </c>
      <c r="L140" s="5">
        <v>2</v>
      </c>
      <c r="M140" s="5">
        <v>402.91</v>
      </c>
      <c r="N140" s="5">
        <v>10</v>
      </c>
      <c r="O140" s="5">
        <v>725.24</v>
      </c>
      <c r="P140">
        <f t="shared" si="26"/>
        <v>805.82</v>
      </c>
      <c r="Q140">
        <f t="shared" si="27"/>
        <v>80.582</v>
      </c>
      <c r="R140">
        <f t="shared" si="28"/>
        <v>725.238</v>
      </c>
      <c r="S140" t="str">
        <f t="shared" si="29"/>
        <v>Low</v>
      </c>
      <c r="T140" t="str">
        <f t="shared" si="30"/>
        <v>Low</v>
      </c>
      <c r="U140" t="str">
        <f t="shared" si="31"/>
        <v>Heavy Discount</v>
      </c>
      <c r="V140" t="str">
        <f t="shared" si="32"/>
        <v>Average</v>
      </c>
      <c r="W140">
        <f t="shared" si="33"/>
        <v>99</v>
      </c>
      <c r="X140">
        <f t="shared" si="34"/>
        <v>106</v>
      </c>
      <c r="Y140">
        <f t="shared" si="35"/>
        <v>46</v>
      </c>
      <c r="Z140" t="str">
        <f t="shared" si="36"/>
        <v>Not Eligible</v>
      </c>
      <c r="AA140" t="str">
        <f t="shared" si="37"/>
        <v>Normal Order</v>
      </c>
      <c r="AB140" t="str">
        <f t="shared" si="38"/>
        <v>Online</v>
      </c>
    </row>
    <row r="141" spans="1:28">
      <c r="A141" s="5">
        <v>10140</v>
      </c>
      <c r="B141" s="5">
        <v>1471</v>
      </c>
      <c r="C141" s="6">
        <v>45015</v>
      </c>
      <c r="D141" s="6">
        <v>45015</v>
      </c>
      <c r="E141" s="5" t="s">
        <v>82</v>
      </c>
      <c r="F141" s="5" t="s">
        <v>127</v>
      </c>
      <c r="G141" s="5" t="s">
        <v>96</v>
      </c>
      <c r="H141" s="5" t="s">
        <v>108</v>
      </c>
      <c r="I141" s="5" t="s">
        <v>132</v>
      </c>
      <c r="J141" s="5" t="s">
        <v>134</v>
      </c>
      <c r="K141" s="5" t="s">
        <v>113</v>
      </c>
      <c r="L141" s="5">
        <v>4</v>
      </c>
      <c r="M141" s="5">
        <v>3565.41</v>
      </c>
      <c r="N141" s="5">
        <v>20</v>
      </c>
      <c r="O141" s="5">
        <v>11409.31</v>
      </c>
      <c r="P141">
        <f t="shared" si="26"/>
        <v>14261.64</v>
      </c>
      <c r="Q141">
        <f t="shared" si="27"/>
        <v>2852.328</v>
      </c>
      <c r="R141">
        <f t="shared" si="28"/>
        <v>11409.312</v>
      </c>
      <c r="S141" t="str">
        <f t="shared" si="29"/>
        <v>Low</v>
      </c>
      <c r="T141" t="str">
        <f t="shared" si="30"/>
        <v>Low</v>
      </c>
      <c r="U141" t="str">
        <f t="shared" si="31"/>
        <v>Heavy Discount</v>
      </c>
      <c r="V141" t="str">
        <f t="shared" si="32"/>
        <v>Excellent Sales</v>
      </c>
      <c r="W141">
        <f t="shared" si="33"/>
        <v>99</v>
      </c>
      <c r="X141">
        <f t="shared" si="34"/>
        <v>106</v>
      </c>
      <c r="Y141">
        <f t="shared" si="35"/>
        <v>46</v>
      </c>
      <c r="Z141" t="str">
        <f t="shared" si="36"/>
        <v>Not Eligible</v>
      </c>
      <c r="AA141" t="str">
        <f t="shared" si="37"/>
        <v>Prriority Order</v>
      </c>
      <c r="AB141" t="str">
        <f t="shared" si="38"/>
        <v/>
      </c>
    </row>
    <row r="142" spans="1:28">
      <c r="A142" s="5">
        <v>10141</v>
      </c>
      <c r="B142" s="5">
        <v>1062</v>
      </c>
      <c r="C142" s="6">
        <v>45092</v>
      </c>
      <c r="D142" s="6">
        <v>45092</v>
      </c>
      <c r="E142" s="5" t="s">
        <v>103</v>
      </c>
      <c r="F142" s="5" t="s">
        <v>95</v>
      </c>
      <c r="G142" s="5" t="s">
        <v>83</v>
      </c>
      <c r="H142" s="5" t="s">
        <v>91</v>
      </c>
      <c r="I142" s="5" t="s">
        <v>97</v>
      </c>
      <c r="J142" s="5" t="s">
        <v>105</v>
      </c>
      <c r="K142" s="5" t="s">
        <v>94</v>
      </c>
      <c r="L142" s="5">
        <v>2</v>
      </c>
      <c r="M142" s="5">
        <v>1766.42</v>
      </c>
      <c r="N142" s="5">
        <v>10</v>
      </c>
      <c r="O142" s="5">
        <v>3179.56</v>
      </c>
      <c r="P142">
        <f t="shared" si="26"/>
        <v>3532.84</v>
      </c>
      <c r="Q142">
        <f t="shared" si="27"/>
        <v>353.284</v>
      </c>
      <c r="R142">
        <f t="shared" si="28"/>
        <v>3179.556</v>
      </c>
      <c r="S142" t="str">
        <f t="shared" si="29"/>
        <v>Low</v>
      </c>
      <c r="T142" t="str">
        <f t="shared" si="30"/>
        <v>Low</v>
      </c>
      <c r="U142" t="str">
        <f t="shared" si="31"/>
        <v>Heavy Discount</v>
      </c>
      <c r="V142" t="str">
        <f t="shared" si="32"/>
        <v>Average</v>
      </c>
      <c r="W142">
        <f t="shared" si="33"/>
        <v>99</v>
      </c>
      <c r="X142">
        <f t="shared" si="34"/>
        <v>106</v>
      </c>
      <c r="Y142">
        <f t="shared" si="35"/>
        <v>46</v>
      </c>
      <c r="Z142" t="str">
        <f t="shared" si="36"/>
        <v>Not Eligible</v>
      </c>
      <c r="AA142" t="str">
        <f t="shared" si="37"/>
        <v>Normal Order</v>
      </c>
      <c r="AB142" t="str">
        <f t="shared" si="38"/>
        <v>Online</v>
      </c>
    </row>
    <row r="143" spans="1:28">
      <c r="A143" s="5">
        <v>10142</v>
      </c>
      <c r="B143" s="5">
        <v>1138</v>
      </c>
      <c r="C143" s="6">
        <v>45123</v>
      </c>
      <c r="D143" s="6">
        <v>45123</v>
      </c>
      <c r="E143" s="5" t="s">
        <v>82</v>
      </c>
      <c r="F143" s="5" t="s">
        <v>104</v>
      </c>
      <c r="G143" s="5" t="s">
        <v>83</v>
      </c>
      <c r="H143" s="5" t="s">
        <v>108</v>
      </c>
      <c r="I143" s="5" t="s">
        <v>115</v>
      </c>
      <c r="J143" s="5" t="s">
        <v>119</v>
      </c>
      <c r="K143" s="5" t="s">
        <v>99</v>
      </c>
      <c r="L143" s="5">
        <v>1</v>
      </c>
      <c r="M143" s="5">
        <v>2063.05</v>
      </c>
      <c r="N143" s="5">
        <v>0</v>
      </c>
      <c r="O143" s="5">
        <v>2063.05</v>
      </c>
      <c r="P143">
        <f t="shared" si="26"/>
        <v>2063.05</v>
      </c>
      <c r="Q143">
        <f t="shared" si="27"/>
        <v>0</v>
      </c>
      <c r="R143">
        <f t="shared" si="28"/>
        <v>2063.05</v>
      </c>
      <c r="S143" t="str">
        <f t="shared" si="29"/>
        <v>Low</v>
      </c>
      <c r="T143" t="str">
        <f t="shared" si="30"/>
        <v>Low</v>
      </c>
      <c r="U143" t="str">
        <f t="shared" si="31"/>
        <v>Normal Discount</v>
      </c>
      <c r="V143" t="str">
        <f t="shared" si="32"/>
        <v>Average</v>
      </c>
      <c r="W143">
        <f t="shared" si="33"/>
        <v>99</v>
      </c>
      <c r="X143">
        <f t="shared" si="34"/>
        <v>106</v>
      </c>
      <c r="Y143">
        <f t="shared" si="35"/>
        <v>46</v>
      </c>
      <c r="Z143" t="str">
        <f t="shared" si="36"/>
        <v>Eligible</v>
      </c>
      <c r="AA143" t="str">
        <f t="shared" si="37"/>
        <v>Normal Order</v>
      </c>
      <c r="AB143" t="str">
        <f t="shared" si="38"/>
        <v>Online</v>
      </c>
    </row>
    <row r="144" spans="1:28">
      <c r="A144" s="5">
        <v>10143</v>
      </c>
      <c r="B144" s="5">
        <v>1498</v>
      </c>
      <c r="C144" s="6">
        <v>44993</v>
      </c>
      <c r="D144" s="6">
        <v>44993</v>
      </c>
      <c r="E144" s="5" t="s">
        <v>103</v>
      </c>
      <c r="F144" s="5" t="s">
        <v>127</v>
      </c>
      <c r="G144" s="5" t="s">
        <v>96</v>
      </c>
      <c r="H144" s="5" t="s">
        <v>91</v>
      </c>
      <c r="I144" s="5" t="s">
        <v>132</v>
      </c>
      <c r="J144" s="5" t="s">
        <v>133</v>
      </c>
      <c r="K144" s="5" t="s">
        <v>87</v>
      </c>
      <c r="L144" s="5">
        <v>7</v>
      </c>
      <c r="M144" s="5">
        <v>3680.23</v>
      </c>
      <c r="N144" s="5">
        <v>5</v>
      </c>
      <c r="O144" s="5">
        <v>24473.53</v>
      </c>
      <c r="P144">
        <f t="shared" si="26"/>
        <v>25761.61</v>
      </c>
      <c r="Q144">
        <f t="shared" si="27"/>
        <v>1288.0805</v>
      </c>
      <c r="R144">
        <f t="shared" si="28"/>
        <v>24473.5295</v>
      </c>
      <c r="S144" t="str">
        <f t="shared" si="29"/>
        <v>High</v>
      </c>
      <c r="T144" t="str">
        <f t="shared" si="30"/>
        <v>High</v>
      </c>
      <c r="U144" t="str">
        <f t="shared" si="31"/>
        <v>Heavy Discount</v>
      </c>
      <c r="V144" t="str">
        <f t="shared" si="32"/>
        <v>Excellent Sales</v>
      </c>
      <c r="W144">
        <f t="shared" si="33"/>
        <v>99</v>
      </c>
      <c r="X144">
        <f t="shared" si="34"/>
        <v>106</v>
      </c>
      <c r="Y144">
        <f t="shared" si="35"/>
        <v>45</v>
      </c>
      <c r="Z144" t="str">
        <f t="shared" si="36"/>
        <v>Not Eligible</v>
      </c>
      <c r="AA144" t="str">
        <f t="shared" si="37"/>
        <v>Prriority Order</v>
      </c>
      <c r="AB144" t="str">
        <f t="shared" si="38"/>
        <v/>
      </c>
    </row>
    <row r="145" spans="1:28">
      <c r="A145" s="5">
        <v>10144</v>
      </c>
      <c r="B145" s="5">
        <v>1592</v>
      </c>
      <c r="C145" s="6">
        <v>45234</v>
      </c>
      <c r="D145" s="6">
        <v>45234</v>
      </c>
      <c r="E145" s="5" t="s">
        <v>106</v>
      </c>
      <c r="F145" s="5" t="s">
        <v>127</v>
      </c>
      <c r="G145" s="5" t="s">
        <v>96</v>
      </c>
      <c r="H145" s="5" t="s">
        <v>84</v>
      </c>
      <c r="I145" s="5" t="s">
        <v>85</v>
      </c>
      <c r="J145" s="5" t="s">
        <v>129</v>
      </c>
      <c r="K145" s="5" t="s">
        <v>99</v>
      </c>
      <c r="L145" s="5">
        <v>8</v>
      </c>
      <c r="M145" s="5">
        <v>3138.72</v>
      </c>
      <c r="N145" s="5">
        <v>20</v>
      </c>
      <c r="O145" s="5">
        <v>20087.81</v>
      </c>
      <c r="P145">
        <f t="shared" si="26"/>
        <v>25109.76</v>
      </c>
      <c r="Q145">
        <f t="shared" si="27"/>
        <v>5021.952</v>
      </c>
      <c r="R145">
        <f t="shared" si="28"/>
        <v>20087.808</v>
      </c>
      <c r="S145" t="str">
        <f t="shared" si="29"/>
        <v>High</v>
      </c>
      <c r="T145" t="str">
        <f t="shared" si="30"/>
        <v>High</v>
      </c>
      <c r="U145" t="str">
        <f t="shared" si="31"/>
        <v>Heavy Discount</v>
      </c>
      <c r="V145" t="str">
        <f t="shared" si="32"/>
        <v>Excellent Sales</v>
      </c>
      <c r="W145">
        <f t="shared" si="33"/>
        <v>99</v>
      </c>
      <c r="X145">
        <f t="shared" si="34"/>
        <v>106</v>
      </c>
      <c r="Y145">
        <f t="shared" si="35"/>
        <v>45</v>
      </c>
      <c r="Z145" t="str">
        <f t="shared" si="36"/>
        <v>Not Eligible</v>
      </c>
      <c r="AA145" t="str">
        <f t="shared" si="37"/>
        <v>Prriority Order</v>
      </c>
      <c r="AB145" t="str">
        <f t="shared" si="38"/>
        <v/>
      </c>
    </row>
    <row r="146" spans="1:28">
      <c r="A146" s="5">
        <v>10145</v>
      </c>
      <c r="B146" s="5">
        <v>1391</v>
      </c>
      <c r="C146" s="6">
        <v>45246</v>
      </c>
      <c r="D146" s="6">
        <v>45246</v>
      </c>
      <c r="E146" s="5" t="s">
        <v>103</v>
      </c>
      <c r="F146" s="5" t="s">
        <v>104</v>
      </c>
      <c r="G146" s="5" t="s">
        <v>90</v>
      </c>
      <c r="H146" s="5" t="s">
        <v>101</v>
      </c>
      <c r="I146" s="5" t="s">
        <v>132</v>
      </c>
      <c r="J146" s="5" t="s">
        <v>134</v>
      </c>
      <c r="K146" s="5" t="s">
        <v>113</v>
      </c>
      <c r="L146" s="5">
        <v>6</v>
      </c>
      <c r="M146" s="5">
        <v>652.43</v>
      </c>
      <c r="N146" s="5">
        <v>10</v>
      </c>
      <c r="O146" s="5">
        <v>3523.12</v>
      </c>
      <c r="P146">
        <f t="shared" si="26"/>
        <v>3914.58</v>
      </c>
      <c r="Q146">
        <f t="shared" si="27"/>
        <v>391.458</v>
      </c>
      <c r="R146">
        <f t="shared" si="28"/>
        <v>3523.122</v>
      </c>
      <c r="S146" t="str">
        <f t="shared" si="29"/>
        <v>High</v>
      </c>
      <c r="T146" t="str">
        <f t="shared" si="30"/>
        <v>High</v>
      </c>
      <c r="U146" t="str">
        <f t="shared" si="31"/>
        <v>Heavy Discount</v>
      </c>
      <c r="V146" t="str">
        <f t="shared" si="32"/>
        <v>Average</v>
      </c>
      <c r="W146">
        <f t="shared" si="33"/>
        <v>99</v>
      </c>
      <c r="X146">
        <f t="shared" si="34"/>
        <v>106</v>
      </c>
      <c r="Y146">
        <f t="shared" si="35"/>
        <v>45</v>
      </c>
      <c r="Z146" t="str">
        <f t="shared" si="36"/>
        <v>Not Eligible</v>
      </c>
      <c r="AA146" t="str">
        <f t="shared" si="37"/>
        <v>Prriority Order</v>
      </c>
      <c r="AB146" t="str">
        <f t="shared" si="38"/>
        <v>Online</v>
      </c>
    </row>
    <row r="147" spans="1:28">
      <c r="A147" s="5">
        <v>10146</v>
      </c>
      <c r="B147" s="5">
        <v>1674</v>
      </c>
      <c r="C147" s="6">
        <v>45145</v>
      </c>
      <c r="D147" s="6">
        <v>45145</v>
      </c>
      <c r="E147" s="5" t="s">
        <v>106</v>
      </c>
      <c r="F147" s="5" t="s">
        <v>107</v>
      </c>
      <c r="G147" s="5" t="s">
        <v>96</v>
      </c>
      <c r="H147" s="5" t="s">
        <v>108</v>
      </c>
      <c r="I147" s="5" t="s">
        <v>132</v>
      </c>
      <c r="J147" s="5" t="s">
        <v>137</v>
      </c>
      <c r="K147" s="5" t="s">
        <v>99</v>
      </c>
      <c r="L147" s="5">
        <v>4</v>
      </c>
      <c r="M147" s="5">
        <v>2326.87</v>
      </c>
      <c r="N147" s="5">
        <v>15</v>
      </c>
      <c r="O147" s="5">
        <v>7911.36</v>
      </c>
      <c r="P147">
        <f t="shared" si="26"/>
        <v>9307.48</v>
      </c>
      <c r="Q147">
        <f t="shared" si="27"/>
        <v>1396.122</v>
      </c>
      <c r="R147">
        <f t="shared" si="28"/>
        <v>7911.358</v>
      </c>
      <c r="S147" t="str">
        <f t="shared" si="29"/>
        <v>Low</v>
      </c>
      <c r="T147" t="str">
        <f t="shared" si="30"/>
        <v>Low</v>
      </c>
      <c r="U147" t="str">
        <f t="shared" si="31"/>
        <v>Heavy Discount</v>
      </c>
      <c r="V147" t="str">
        <f t="shared" si="32"/>
        <v>Excellent Sales</v>
      </c>
      <c r="W147">
        <f t="shared" si="33"/>
        <v>99</v>
      </c>
      <c r="X147">
        <f t="shared" si="34"/>
        <v>106</v>
      </c>
      <c r="Y147">
        <f t="shared" si="35"/>
        <v>45</v>
      </c>
      <c r="Z147" t="str">
        <f t="shared" si="36"/>
        <v>Not Eligible</v>
      </c>
      <c r="AA147" t="str">
        <f t="shared" si="37"/>
        <v>Prriority Order</v>
      </c>
      <c r="AB147" t="str">
        <f t="shared" si="38"/>
        <v/>
      </c>
    </row>
    <row r="148" spans="1:28">
      <c r="A148" s="5">
        <v>10147</v>
      </c>
      <c r="B148" s="5">
        <v>1418</v>
      </c>
      <c r="C148" s="6">
        <v>45081</v>
      </c>
      <c r="D148" s="6">
        <v>45081</v>
      </c>
      <c r="E148" s="5" t="s">
        <v>88</v>
      </c>
      <c r="F148" s="5" t="s">
        <v>127</v>
      </c>
      <c r="G148" s="5" t="s">
        <v>90</v>
      </c>
      <c r="H148" s="5" t="s">
        <v>91</v>
      </c>
      <c r="I148" s="5" t="s">
        <v>97</v>
      </c>
      <c r="J148" s="5" t="s">
        <v>114</v>
      </c>
      <c r="K148" s="5" t="s">
        <v>87</v>
      </c>
      <c r="L148" s="5">
        <v>6</v>
      </c>
      <c r="M148" s="5">
        <v>1852.67</v>
      </c>
      <c r="N148" s="5">
        <v>5</v>
      </c>
      <c r="O148" s="5">
        <v>10560.22</v>
      </c>
      <c r="P148">
        <f t="shared" si="26"/>
        <v>11116.02</v>
      </c>
      <c r="Q148">
        <f t="shared" si="27"/>
        <v>555.801</v>
      </c>
      <c r="R148">
        <f t="shared" si="28"/>
        <v>10560.219</v>
      </c>
      <c r="S148" t="str">
        <f t="shared" si="29"/>
        <v>High</v>
      </c>
      <c r="T148" t="str">
        <f t="shared" si="30"/>
        <v>High</v>
      </c>
      <c r="U148" t="str">
        <f t="shared" si="31"/>
        <v>Heavy Discount</v>
      </c>
      <c r="V148" t="str">
        <f t="shared" si="32"/>
        <v>Excellent Sales</v>
      </c>
      <c r="W148">
        <f t="shared" si="33"/>
        <v>99</v>
      </c>
      <c r="X148">
        <f t="shared" si="34"/>
        <v>106</v>
      </c>
      <c r="Y148">
        <f t="shared" si="35"/>
        <v>45</v>
      </c>
      <c r="Z148" t="str">
        <f t="shared" si="36"/>
        <v>Not Eligible</v>
      </c>
      <c r="AA148" t="str">
        <f t="shared" si="37"/>
        <v>Prriority Order</v>
      </c>
      <c r="AB148" t="str">
        <f t="shared" si="38"/>
        <v>Online</v>
      </c>
    </row>
    <row r="149" spans="1:28">
      <c r="A149" s="5">
        <v>10148</v>
      </c>
      <c r="B149" s="5">
        <v>1288</v>
      </c>
      <c r="C149" s="6">
        <v>45043</v>
      </c>
      <c r="D149" s="6">
        <v>45043</v>
      </c>
      <c r="E149" s="5" t="s">
        <v>100</v>
      </c>
      <c r="F149" s="5" t="s">
        <v>95</v>
      </c>
      <c r="G149" s="5" t="s">
        <v>96</v>
      </c>
      <c r="H149" s="5" t="s">
        <v>110</v>
      </c>
      <c r="I149" s="5" t="s">
        <v>85</v>
      </c>
      <c r="J149" s="5" t="s">
        <v>86</v>
      </c>
      <c r="K149" s="5" t="s">
        <v>113</v>
      </c>
      <c r="L149" s="5">
        <v>3</v>
      </c>
      <c r="M149" s="5">
        <v>3219.26</v>
      </c>
      <c r="N149" s="5">
        <v>10</v>
      </c>
      <c r="O149" s="5">
        <v>8692</v>
      </c>
      <c r="P149">
        <f t="shared" si="26"/>
        <v>9657.78</v>
      </c>
      <c r="Q149">
        <f t="shared" si="27"/>
        <v>965.778</v>
      </c>
      <c r="R149">
        <f t="shared" si="28"/>
        <v>8692.002</v>
      </c>
      <c r="S149" t="str">
        <f t="shared" si="29"/>
        <v>Low</v>
      </c>
      <c r="T149" t="str">
        <f t="shared" si="30"/>
        <v>Low</v>
      </c>
      <c r="U149" t="str">
        <f t="shared" si="31"/>
        <v>Heavy Discount</v>
      </c>
      <c r="V149" t="str">
        <f t="shared" si="32"/>
        <v>Excellent Sales</v>
      </c>
      <c r="W149">
        <f t="shared" si="33"/>
        <v>99</v>
      </c>
      <c r="X149">
        <f t="shared" si="34"/>
        <v>106</v>
      </c>
      <c r="Y149">
        <f t="shared" si="35"/>
        <v>45</v>
      </c>
      <c r="Z149" t="str">
        <f t="shared" si="36"/>
        <v>Not Eligible</v>
      </c>
      <c r="AA149" t="str">
        <f t="shared" si="37"/>
        <v>Prriority Order</v>
      </c>
      <c r="AB149" t="str">
        <f t="shared" si="38"/>
        <v/>
      </c>
    </row>
    <row r="150" spans="1:28">
      <c r="A150" s="5">
        <v>10149</v>
      </c>
      <c r="B150" s="5">
        <v>1378</v>
      </c>
      <c r="C150" s="6">
        <v>45010</v>
      </c>
      <c r="D150" s="6">
        <v>45010</v>
      </c>
      <c r="E150" s="5" t="s">
        <v>88</v>
      </c>
      <c r="F150" s="5" t="s">
        <v>89</v>
      </c>
      <c r="G150" s="5" t="s">
        <v>96</v>
      </c>
      <c r="H150" s="5" t="s">
        <v>108</v>
      </c>
      <c r="I150" s="5" t="s">
        <v>132</v>
      </c>
      <c r="J150" s="5" t="s">
        <v>137</v>
      </c>
      <c r="K150" s="5" t="s">
        <v>99</v>
      </c>
      <c r="L150" s="5">
        <v>8</v>
      </c>
      <c r="M150" s="5">
        <v>2938.3</v>
      </c>
      <c r="N150" s="5">
        <v>15</v>
      </c>
      <c r="O150" s="5">
        <v>19980.44</v>
      </c>
      <c r="P150">
        <f t="shared" si="26"/>
        <v>23506.4</v>
      </c>
      <c r="Q150">
        <f t="shared" si="27"/>
        <v>3525.96</v>
      </c>
      <c r="R150">
        <f t="shared" si="28"/>
        <v>19980.44</v>
      </c>
      <c r="S150" t="str">
        <f t="shared" si="29"/>
        <v>High</v>
      </c>
      <c r="T150" t="str">
        <f t="shared" si="30"/>
        <v>High</v>
      </c>
      <c r="U150" t="str">
        <f t="shared" si="31"/>
        <v>Heavy Discount</v>
      </c>
      <c r="V150" t="str">
        <f t="shared" si="32"/>
        <v>Excellent Sales</v>
      </c>
      <c r="W150">
        <f t="shared" si="33"/>
        <v>99</v>
      </c>
      <c r="X150">
        <f t="shared" si="34"/>
        <v>106</v>
      </c>
      <c r="Y150">
        <f t="shared" si="35"/>
        <v>45</v>
      </c>
      <c r="Z150" t="str">
        <f t="shared" si="36"/>
        <v>Not Eligible</v>
      </c>
      <c r="AA150" t="str">
        <f t="shared" si="37"/>
        <v>Prriority Order</v>
      </c>
      <c r="AB150" t="str">
        <f t="shared" si="38"/>
        <v/>
      </c>
    </row>
    <row r="151" spans="1:28">
      <c r="A151" s="5">
        <v>10150</v>
      </c>
      <c r="B151" s="5">
        <v>1772</v>
      </c>
      <c r="C151" s="6">
        <v>44961</v>
      </c>
      <c r="D151" s="6">
        <v>44961</v>
      </c>
      <c r="E151" s="5" t="s">
        <v>88</v>
      </c>
      <c r="F151" s="5" t="s">
        <v>127</v>
      </c>
      <c r="G151" s="5" t="s">
        <v>90</v>
      </c>
      <c r="H151" s="5" t="s">
        <v>84</v>
      </c>
      <c r="I151" s="5" t="s">
        <v>115</v>
      </c>
      <c r="J151" s="5" t="s">
        <v>119</v>
      </c>
      <c r="K151" s="5" t="s">
        <v>94</v>
      </c>
      <c r="L151" s="5">
        <v>2</v>
      </c>
      <c r="M151" s="5">
        <v>2808.06</v>
      </c>
      <c r="N151" s="5">
        <v>0</v>
      </c>
      <c r="O151" s="5">
        <v>5616.12</v>
      </c>
      <c r="P151">
        <f t="shared" si="26"/>
        <v>5616.12</v>
      </c>
      <c r="Q151">
        <f t="shared" si="27"/>
        <v>0</v>
      </c>
      <c r="R151">
        <f t="shared" si="28"/>
        <v>5616.12</v>
      </c>
      <c r="S151" t="str">
        <f t="shared" si="29"/>
        <v>Low</v>
      </c>
      <c r="T151" t="str">
        <f t="shared" si="30"/>
        <v>Low</v>
      </c>
      <c r="U151" t="str">
        <f t="shared" si="31"/>
        <v>Normal Discount</v>
      </c>
      <c r="V151" t="str">
        <f t="shared" si="32"/>
        <v>Good</v>
      </c>
      <c r="W151">
        <f t="shared" si="33"/>
        <v>99</v>
      </c>
      <c r="X151">
        <f t="shared" si="34"/>
        <v>106</v>
      </c>
      <c r="Y151">
        <f t="shared" si="35"/>
        <v>45</v>
      </c>
      <c r="Z151" t="str">
        <f t="shared" si="36"/>
        <v>Eligible</v>
      </c>
      <c r="AA151" t="str">
        <f t="shared" si="37"/>
        <v>Normal Order</v>
      </c>
      <c r="AB151" t="str">
        <f t="shared" si="38"/>
        <v>Online</v>
      </c>
    </row>
    <row r="152" spans="1:28">
      <c r="A152" s="5">
        <v>10151</v>
      </c>
      <c r="B152" s="5">
        <v>1489</v>
      </c>
      <c r="C152" s="6">
        <v>45241</v>
      </c>
      <c r="D152" s="6">
        <v>45241</v>
      </c>
      <c r="E152" s="5" t="s">
        <v>100</v>
      </c>
      <c r="F152" s="5" t="s">
        <v>95</v>
      </c>
      <c r="G152" s="5" t="s">
        <v>96</v>
      </c>
      <c r="H152" s="5" t="s">
        <v>84</v>
      </c>
      <c r="I152" s="5" t="s">
        <v>115</v>
      </c>
      <c r="J152" s="5" t="s">
        <v>138</v>
      </c>
      <c r="K152" s="5" t="s">
        <v>113</v>
      </c>
      <c r="L152" s="5">
        <v>5</v>
      </c>
      <c r="M152" s="5">
        <v>1461.1</v>
      </c>
      <c r="N152" s="5">
        <v>15</v>
      </c>
      <c r="O152" s="5">
        <v>6209.68</v>
      </c>
      <c r="P152">
        <f t="shared" si="26"/>
        <v>7305.5</v>
      </c>
      <c r="Q152">
        <f t="shared" si="27"/>
        <v>1095.825</v>
      </c>
      <c r="R152">
        <f t="shared" si="28"/>
        <v>6209.675</v>
      </c>
      <c r="S152" t="str">
        <f t="shared" si="29"/>
        <v>High</v>
      </c>
      <c r="T152" t="str">
        <f t="shared" si="30"/>
        <v>Medium</v>
      </c>
      <c r="U152" t="str">
        <f t="shared" si="31"/>
        <v>Heavy Discount</v>
      </c>
      <c r="V152" t="str">
        <f t="shared" si="32"/>
        <v>Good</v>
      </c>
      <c r="W152">
        <f t="shared" si="33"/>
        <v>99</v>
      </c>
      <c r="X152">
        <f t="shared" si="34"/>
        <v>106</v>
      </c>
      <c r="Y152">
        <f t="shared" si="35"/>
        <v>44</v>
      </c>
      <c r="Z152" t="str">
        <f t="shared" si="36"/>
        <v>Not Eligible</v>
      </c>
      <c r="AA152" t="str">
        <f t="shared" si="37"/>
        <v>Normal Order</v>
      </c>
      <c r="AB152" t="str">
        <f t="shared" si="38"/>
        <v/>
      </c>
    </row>
    <row r="153" spans="1:28">
      <c r="A153" s="5">
        <v>10152</v>
      </c>
      <c r="B153" s="5">
        <v>1230</v>
      </c>
      <c r="C153" s="6">
        <v>45050</v>
      </c>
      <c r="D153" s="6">
        <v>45050</v>
      </c>
      <c r="E153" s="5" t="s">
        <v>103</v>
      </c>
      <c r="F153" s="5" t="s">
        <v>82</v>
      </c>
      <c r="G153" s="5" t="s">
        <v>90</v>
      </c>
      <c r="H153" s="5" t="s">
        <v>110</v>
      </c>
      <c r="I153" s="5" t="s">
        <v>123</v>
      </c>
      <c r="J153" s="5" t="s">
        <v>131</v>
      </c>
      <c r="K153" s="5" t="s">
        <v>113</v>
      </c>
      <c r="L153" s="5">
        <v>1</v>
      </c>
      <c r="M153" s="5">
        <v>3249.11</v>
      </c>
      <c r="N153" s="5">
        <v>10</v>
      </c>
      <c r="O153" s="5">
        <v>2924.2</v>
      </c>
      <c r="P153">
        <f t="shared" si="26"/>
        <v>3249.11</v>
      </c>
      <c r="Q153">
        <f t="shared" si="27"/>
        <v>324.911</v>
      </c>
      <c r="R153">
        <f t="shared" si="28"/>
        <v>2924.199</v>
      </c>
      <c r="S153" t="str">
        <f t="shared" si="29"/>
        <v>Low</v>
      </c>
      <c r="T153" t="str">
        <f t="shared" si="30"/>
        <v>Low</v>
      </c>
      <c r="U153" t="str">
        <f t="shared" si="31"/>
        <v>Heavy Discount</v>
      </c>
      <c r="V153" t="str">
        <f t="shared" si="32"/>
        <v>Average</v>
      </c>
      <c r="W153">
        <f t="shared" si="33"/>
        <v>99</v>
      </c>
      <c r="X153">
        <f t="shared" si="34"/>
        <v>106</v>
      </c>
      <c r="Y153">
        <f t="shared" si="35"/>
        <v>44</v>
      </c>
      <c r="Z153" t="str">
        <f t="shared" si="36"/>
        <v>Not Eligible</v>
      </c>
      <c r="AA153" t="str">
        <f t="shared" si="37"/>
        <v>Normal Order</v>
      </c>
      <c r="AB153" t="str">
        <f t="shared" si="38"/>
        <v>Online</v>
      </c>
    </row>
    <row r="154" spans="1:28">
      <c r="A154" s="5">
        <v>10153</v>
      </c>
      <c r="B154" s="5">
        <v>1040</v>
      </c>
      <c r="C154" s="6">
        <v>45287</v>
      </c>
      <c r="D154" s="6">
        <v>45287</v>
      </c>
      <c r="E154" s="5" t="s">
        <v>103</v>
      </c>
      <c r="F154" s="5" t="s">
        <v>95</v>
      </c>
      <c r="G154" s="5" t="s">
        <v>96</v>
      </c>
      <c r="H154" s="5" t="s">
        <v>91</v>
      </c>
      <c r="I154" s="5" t="s">
        <v>85</v>
      </c>
      <c r="J154" s="5" t="s">
        <v>141</v>
      </c>
      <c r="K154" s="5" t="s">
        <v>94</v>
      </c>
      <c r="L154" s="5">
        <v>6</v>
      </c>
      <c r="M154" s="5">
        <v>351.71</v>
      </c>
      <c r="N154" s="5">
        <v>10</v>
      </c>
      <c r="O154" s="5">
        <v>1899.23</v>
      </c>
      <c r="P154">
        <f t="shared" si="26"/>
        <v>2110.26</v>
      </c>
      <c r="Q154">
        <f t="shared" si="27"/>
        <v>211.026</v>
      </c>
      <c r="R154">
        <f t="shared" si="28"/>
        <v>1899.234</v>
      </c>
      <c r="S154" t="str">
        <f t="shared" si="29"/>
        <v>High</v>
      </c>
      <c r="T154" t="str">
        <f t="shared" si="30"/>
        <v>High</v>
      </c>
      <c r="U154" t="str">
        <f t="shared" si="31"/>
        <v>Heavy Discount</v>
      </c>
      <c r="V154" t="str">
        <f t="shared" si="32"/>
        <v>Average</v>
      </c>
      <c r="W154">
        <f t="shared" si="33"/>
        <v>99</v>
      </c>
      <c r="X154">
        <f t="shared" si="34"/>
        <v>106</v>
      </c>
      <c r="Y154">
        <f t="shared" si="35"/>
        <v>44</v>
      </c>
      <c r="Z154" t="str">
        <f t="shared" si="36"/>
        <v>Not Eligible</v>
      </c>
      <c r="AA154" t="str">
        <f t="shared" si="37"/>
        <v>Prriority Order</v>
      </c>
      <c r="AB154" t="str">
        <f t="shared" si="38"/>
        <v/>
      </c>
    </row>
    <row r="155" spans="1:28">
      <c r="A155" s="5">
        <v>10154</v>
      </c>
      <c r="B155" s="5">
        <v>1027</v>
      </c>
      <c r="C155" s="6">
        <v>45126</v>
      </c>
      <c r="D155" s="6">
        <v>45126</v>
      </c>
      <c r="E155" s="5" t="s">
        <v>106</v>
      </c>
      <c r="F155" s="5" t="s">
        <v>89</v>
      </c>
      <c r="G155" s="5" t="s">
        <v>83</v>
      </c>
      <c r="H155" s="5" t="s">
        <v>108</v>
      </c>
      <c r="I155" s="5" t="s">
        <v>85</v>
      </c>
      <c r="J155" s="5" t="s">
        <v>109</v>
      </c>
      <c r="K155" s="5" t="s">
        <v>111</v>
      </c>
      <c r="L155" s="5">
        <v>2</v>
      </c>
      <c r="M155" s="5">
        <v>764.56</v>
      </c>
      <c r="N155" s="5">
        <v>0</v>
      </c>
      <c r="O155" s="5">
        <v>1529.12</v>
      </c>
      <c r="P155">
        <f t="shared" si="26"/>
        <v>1529.12</v>
      </c>
      <c r="Q155">
        <f t="shared" si="27"/>
        <v>0</v>
      </c>
      <c r="R155">
        <f t="shared" si="28"/>
        <v>1529.12</v>
      </c>
      <c r="S155" t="str">
        <f t="shared" si="29"/>
        <v>Low</v>
      </c>
      <c r="T155" t="str">
        <f t="shared" si="30"/>
        <v>Low</v>
      </c>
      <c r="U155" t="str">
        <f t="shared" si="31"/>
        <v>Normal Discount</v>
      </c>
      <c r="V155" t="str">
        <f t="shared" si="32"/>
        <v>Average</v>
      </c>
      <c r="W155">
        <f t="shared" si="33"/>
        <v>99</v>
      </c>
      <c r="X155">
        <f t="shared" si="34"/>
        <v>106</v>
      </c>
      <c r="Y155">
        <f t="shared" si="35"/>
        <v>44</v>
      </c>
      <c r="Z155" t="str">
        <f t="shared" si="36"/>
        <v>Eligible</v>
      </c>
      <c r="AA155" t="str">
        <f t="shared" si="37"/>
        <v>Normal Order</v>
      </c>
      <c r="AB155" t="str">
        <f t="shared" si="38"/>
        <v>Online</v>
      </c>
    </row>
    <row r="156" spans="1:28">
      <c r="A156" s="5">
        <v>10155</v>
      </c>
      <c r="B156" s="5">
        <v>1134</v>
      </c>
      <c r="C156" s="6">
        <v>44954</v>
      </c>
      <c r="D156" s="6">
        <v>44954</v>
      </c>
      <c r="E156" s="5" t="s">
        <v>82</v>
      </c>
      <c r="F156" s="5" t="s">
        <v>95</v>
      </c>
      <c r="G156" s="5" t="s">
        <v>96</v>
      </c>
      <c r="H156" s="5" t="s">
        <v>91</v>
      </c>
      <c r="I156" s="5" t="s">
        <v>123</v>
      </c>
      <c r="J156" s="5" t="s">
        <v>131</v>
      </c>
      <c r="K156" s="5" t="s">
        <v>87</v>
      </c>
      <c r="L156" s="5">
        <v>4</v>
      </c>
      <c r="M156" s="5">
        <v>1442.15</v>
      </c>
      <c r="N156" s="5">
        <v>15</v>
      </c>
      <c r="O156" s="5">
        <v>4903.31</v>
      </c>
      <c r="P156">
        <f t="shared" si="26"/>
        <v>5768.6</v>
      </c>
      <c r="Q156">
        <f t="shared" si="27"/>
        <v>865.29</v>
      </c>
      <c r="R156">
        <f t="shared" si="28"/>
        <v>4903.31</v>
      </c>
      <c r="S156" t="str">
        <f t="shared" si="29"/>
        <v>Low</v>
      </c>
      <c r="T156" t="str">
        <f t="shared" si="30"/>
        <v>Low</v>
      </c>
      <c r="U156" t="str">
        <f t="shared" si="31"/>
        <v>Heavy Discount</v>
      </c>
      <c r="V156" t="str">
        <f t="shared" si="32"/>
        <v>Good</v>
      </c>
      <c r="W156">
        <f t="shared" si="33"/>
        <v>99</v>
      </c>
      <c r="X156">
        <f t="shared" si="34"/>
        <v>106</v>
      </c>
      <c r="Y156">
        <f t="shared" si="35"/>
        <v>44</v>
      </c>
      <c r="Z156" t="str">
        <f t="shared" si="36"/>
        <v>Not Eligible</v>
      </c>
      <c r="AA156" t="str">
        <f t="shared" si="37"/>
        <v>Normal Order</v>
      </c>
      <c r="AB156" t="str">
        <f t="shared" si="38"/>
        <v/>
      </c>
    </row>
    <row r="157" spans="1:28">
      <c r="A157" s="5">
        <v>10156</v>
      </c>
      <c r="B157" s="5">
        <v>1200</v>
      </c>
      <c r="C157" s="6">
        <v>45106</v>
      </c>
      <c r="D157" s="6">
        <v>45106</v>
      </c>
      <c r="E157" s="5" t="s">
        <v>106</v>
      </c>
      <c r="F157" s="5" t="s">
        <v>104</v>
      </c>
      <c r="G157" s="5" t="s">
        <v>90</v>
      </c>
      <c r="H157" s="5" t="s">
        <v>84</v>
      </c>
      <c r="I157" s="5" t="s">
        <v>132</v>
      </c>
      <c r="J157" s="5" t="s">
        <v>134</v>
      </c>
      <c r="K157" s="5" t="s">
        <v>111</v>
      </c>
      <c r="L157" s="5">
        <v>6</v>
      </c>
      <c r="M157" s="5">
        <v>445.71</v>
      </c>
      <c r="N157" s="5">
        <v>15</v>
      </c>
      <c r="O157" s="5">
        <v>2273.12</v>
      </c>
      <c r="P157">
        <f t="shared" si="26"/>
        <v>2674.26</v>
      </c>
      <c r="Q157">
        <f t="shared" si="27"/>
        <v>401.139</v>
      </c>
      <c r="R157">
        <f t="shared" si="28"/>
        <v>2273.121</v>
      </c>
      <c r="S157" t="str">
        <f t="shared" si="29"/>
        <v>High</v>
      </c>
      <c r="T157" t="str">
        <f t="shared" si="30"/>
        <v>High</v>
      </c>
      <c r="U157" t="str">
        <f t="shared" si="31"/>
        <v>Heavy Discount</v>
      </c>
      <c r="V157" t="str">
        <f t="shared" si="32"/>
        <v>Average</v>
      </c>
      <c r="W157">
        <f t="shared" si="33"/>
        <v>99</v>
      </c>
      <c r="X157">
        <f t="shared" si="34"/>
        <v>106</v>
      </c>
      <c r="Y157">
        <f t="shared" si="35"/>
        <v>44</v>
      </c>
      <c r="Z157" t="str">
        <f t="shared" si="36"/>
        <v>Not Eligible</v>
      </c>
      <c r="AA157" t="str">
        <f t="shared" si="37"/>
        <v>Prriority Order</v>
      </c>
      <c r="AB157" t="str">
        <f t="shared" si="38"/>
        <v>Online</v>
      </c>
    </row>
    <row r="158" spans="1:28">
      <c r="A158" s="5">
        <v>10157</v>
      </c>
      <c r="B158" s="5">
        <v>1839</v>
      </c>
      <c r="C158" s="6">
        <v>45161</v>
      </c>
      <c r="D158" s="6">
        <v>45161</v>
      </c>
      <c r="E158" s="5" t="s">
        <v>82</v>
      </c>
      <c r="F158" s="5" t="s">
        <v>89</v>
      </c>
      <c r="G158" s="5" t="s">
        <v>96</v>
      </c>
      <c r="H158" s="5" t="s">
        <v>91</v>
      </c>
      <c r="I158" s="5" t="s">
        <v>85</v>
      </c>
      <c r="J158" s="5" t="s">
        <v>86</v>
      </c>
      <c r="K158" s="5" t="s">
        <v>99</v>
      </c>
      <c r="L158" s="5">
        <v>8</v>
      </c>
      <c r="M158" s="5">
        <v>1054.73</v>
      </c>
      <c r="N158" s="5">
        <v>0</v>
      </c>
      <c r="O158" s="5">
        <v>8437.84</v>
      </c>
      <c r="P158">
        <f t="shared" si="26"/>
        <v>8437.84</v>
      </c>
      <c r="Q158">
        <f t="shared" si="27"/>
        <v>0</v>
      </c>
      <c r="R158">
        <f t="shared" si="28"/>
        <v>8437.84</v>
      </c>
      <c r="S158" t="str">
        <f t="shared" si="29"/>
        <v>High</v>
      </c>
      <c r="T158" t="str">
        <f t="shared" si="30"/>
        <v>High</v>
      </c>
      <c r="U158" t="str">
        <f t="shared" si="31"/>
        <v>Normal Discount</v>
      </c>
      <c r="V158" t="str">
        <f t="shared" si="32"/>
        <v>Excellent Sales</v>
      </c>
      <c r="W158">
        <f t="shared" si="33"/>
        <v>99</v>
      </c>
      <c r="X158">
        <f t="shared" si="34"/>
        <v>106</v>
      </c>
      <c r="Y158">
        <f t="shared" si="35"/>
        <v>44</v>
      </c>
      <c r="Z158" t="str">
        <f t="shared" si="36"/>
        <v>Eligible</v>
      </c>
      <c r="AA158" t="str">
        <f t="shared" si="37"/>
        <v>Prriority Order</v>
      </c>
      <c r="AB158" t="str">
        <f t="shared" si="38"/>
        <v/>
      </c>
    </row>
    <row r="159" spans="1:28">
      <c r="A159" s="5">
        <v>10158</v>
      </c>
      <c r="B159" s="5">
        <v>1779</v>
      </c>
      <c r="C159" s="6">
        <v>45277</v>
      </c>
      <c r="D159" s="6">
        <v>45277</v>
      </c>
      <c r="E159" s="5" t="s">
        <v>88</v>
      </c>
      <c r="F159" s="5" t="s">
        <v>107</v>
      </c>
      <c r="G159" s="5" t="s">
        <v>90</v>
      </c>
      <c r="H159" s="5" t="s">
        <v>84</v>
      </c>
      <c r="I159" s="5" t="s">
        <v>115</v>
      </c>
      <c r="J159" s="5" t="s">
        <v>138</v>
      </c>
      <c r="K159" s="5" t="s">
        <v>94</v>
      </c>
      <c r="L159" s="5">
        <v>8</v>
      </c>
      <c r="M159" s="5">
        <v>3346.08</v>
      </c>
      <c r="N159" s="5">
        <v>15</v>
      </c>
      <c r="O159" s="5">
        <v>22753.34</v>
      </c>
      <c r="P159">
        <f t="shared" si="26"/>
        <v>26768.64</v>
      </c>
      <c r="Q159">
        <f t="shared" si="27"/>
        <v>4015.296</v>
      </c>
      <c r="R159">
        <f t="shared" si="28"/>
        <v>22753.344</v>
      </c>
      <c r="S159" t="str">
        <f t="shared" si="29"/>
        <v>High</v>
      </c>
      <c r="T159" t="str">
        <f t="shared" si="30"/>
        <v>High</v>
      </c>
      <c r="U159" t="str">
        <f t="shared" si="31"/>
        <v>Heavy Discount</v>
      </c>
      <c r="V159" t="str">
        <f t="shared" si="32"/>
        <v>Excellent Sales</v>
      </c>
      <c r="W159">
        <f t="shared" si="33"/>
        <v>99</v>
      </c>
      <c r="X159">
        <f t="shared" si="34"/>
        <v>106</v>
      </c>
      <c r="Y159">
        <f t="shared" si="35"/>
        <v>44</v>
      </c>
      <c r="Z159" t="str">
        <f t="shared" si="36"/>
        <v>Not Eligible</v>
      </c>
      <c r="AA159" t="str">
        <f t="shared" si="37"/>
        <v>Prriority Order</v>
      </c>
      <c r="AB159" t="str">
        <f t="shared" si="38"/>
        <v>Online</v>
      </c>
    </row>
    <row r="160" spans="1:28">
      <c r="A160" s="5">
        <v>10159</v>
      </c>
      <c r="B160" s="5">
        <v>1929</v>
      </c>
      <c r="C160" s="6">
        <v>45113</v>
      </c>
      <c r="D160" s="6">
        <v>45113</v>
      </c>
      <c r="E160" s="5" t="s">
        <v>100</v>
      </c>
      <c r="F160" s="5" t="s">
        <v>82</v>
      </c>
      <c r="G160" s="5" t="s">
        <v>90</v>
      </c>
      <c r="H160" s="5" t="s">
        <v>91</v>
      </c>
      <c r="I160" s="5" t="s">
        <v>115</v>
      </c>
      <c r="J160" s="5" t="s">
        <v>143</v>
      </c>
      <c r="K160" s="5" t="s">
        <v>111</v>
      </c>
      <c r="L160" s="5">
        <v>6</v>
      </c>
      <c r="M160" s="5">
        <v>3800.77</v>
      </c>
      <c r="N160" s="5">
        <v>0</v>
      </c>
      <c r="O160" s="5">
        <v>22804.62</v>
      </c>
      <c r="P160">
        <f t="shared" si="26"/>
        <v>22804.62</v>
      </c>
      <c r="Q160">
        <f t="shared" si="27"/>
        <v>0</v>
      </c>
      <c r="R160">
        <f t="shared" si="28"/>
        <v>22804.62</v>
      </c>
      <c r="S160" t="str">
        <f t="shared" si="29"/>
        <v>High</v>
      </c>
      <c r="T160" t="str">
        <f t="shared" si="30"/>
        <v>High</v>
      </c>
      <c r="U160" t="str">
        <f t="shared" si="31"/>
        <v>Normal Discount</v>
      </c>
      <c r="V160" t="str">
        <f t="shared" si="32"/>
        <v>Excellent Sales</v>
      </c>
      <c r="W160">
        <f t="shared" si="33"/>
        <v>99</v>
      </c>
      <c r="X160">
        <f t="shared" si="34"/>
        <v>106</v>
      </c>
      <c r="Y160">
        <f t="shared" si="35"/>
        <v>43</v>
      </c>
      <c r="Z160" t="str">
        <f t="shared" si="36"/>
        <v>Eligible</v>
      </c>
      <c r="AA160" t="str">
        <f t="shared" si="37"/>
        <v>Prriority Order</v>
      </c>
      <c r="AB160" t="str">
        <f t="shared" si="38"/>
        <v>Online</v>
      </c>
    </row>
    <row r="161" spans="1:28">
      <c r="A161" s="5">
        <v>10160</v>
      </c>
      <c r="B161" s="5">
        <v>1032</v>
      </c>
      <c r="C161" s="6">
        <v>45041</v>
      </c>
      <c r="D161" s="6">
        <v>45041</v>
      </c>
      <c r="E161" s="5" t="s">
        <v>88</v>
      </c>
      <c r="F161" s="5" t="s">
        <v>104</v>
      </c>
      <c r="G161" s="5" t="s">
        <v>83</v>
      </c>
      <c r="H161" s="5" t="s">
        <v>110</v>
      </c>
      <c r="I161" s="5" t="s">
        <v>97</v>
      </c>
      <c r="J161" s="5" t="s">
        <v>114</v>
      </c>
      <c r="K161" s="5" t="s">
        <v>113</v>
      </c>
      <c r="L161" s="5">
        <v>4</v>
      </c>
      <c r="M161" s="5">
        <v>1322.72</v>
      </c>
      <c r="N161" s="5">
        <v>5</v>
      </c>
      <c r="O161" s="5">
        <v>5026.34</v>
      </c>
      <c r="P161">
        <f t="shared" si="26"/>
        <v>5290.88</v>
      </c>
      <c r="Q161">
        <f t="shared" si="27"/>
        <v>264.544</v>
      </c>
      <c r="R161">
        <f t="shared" si="28"/>
        <v>5026.336</v>
      </c>
      <c r="S161" t="str">
        <f t="shared" si="29"/>
        <v>Low</v>
      </c>
      <c r="T161" t="str">
        <f t="shared" si="30"/>
        <v>Low</v>
      </c>
      <c r="U161" t="str">
        <f t="shared" si="31"/>
        <v>Heavy Discount</v>
      </c>
      <c r="V161" t="str">
        <f t="shared" si="32"/>
        <v>Good</v>
      </c>
      <c r="W161">
        <f t="shared" si="33"/>
        <v>99</v>
      </c>
      <c r="X161">
        <f t="shared" si="34"/>
        <v>106</v>
      </c>
      <c r="Y161">
        <f t="shared" si="35"/>
        <v>42</v>
      </c>
      <c r="Z161" t="str">
        <f t="shared" si="36"/>
        <v>Not Eligible</v>
      </c>
      <c r="AA161" t="str">
        <f t="shared" si="37"/>
        <v>Normal Order</v>
      </c>
      <c r="AB161" t="str">
        <f t="shared" si="38"/>
        <v>Online</v>
      </c>
    </row>
    <row r="162" spans="1:28">
      <c r="A162" s="5">
        <v>10161</v>
      </c>
      <c r="B162" s="5">
        <v>1047</v>
      </c>
      <c r="C162" s="6">
        <v>45111</v>
      </c>
      <c r="D162" s="6">
        <v>45111</v>
      </c>
      <c r="E162" s="5" t="s">
        <v>112</v>
      </c>
      <c r="F162" s="5" t="s">
        <v>107</v>
      </c>
      <c r="G162" s="5" t="s">
        <v>83</v>
      </c>
      <c r="H162" s="5" t="s">
        <v>101</v>
      </c>
      <c r="I162" s="5" t="s">
        <v>85</v>
      </c>
      <c r="J162" s="5" t="s">
        <v>86</v>
      </c>
      <c r="K162" s="5" t="s">
        <v>99</v>
      </c>
      <c r="L162" s="5">
        <v>8</v>
      </c>
      <c r="M162" s="5">
        <v>1168.39</v>
      </c>
      <c r="N162" s="5">
        <v>10</v>
      </c>
      <c r="O162" s="5">
        <v>8412.41</v>
      </c>
      <c r="P162">
        <f t="shared" si="26"/>
        <v>9347.12</v>
      </c>
      <c r="Q162">
        <f t="shared" si="27"/>
        <v>934.712</v>
      </c>
      <c r="R162">
        <f t="shared" si="28"/>
        <v>8412.408</v>
      </c>
      <c r="S162" t="str">
        <f t="shared" si="29"/>
        <v>High</v>
      </c>
      <c r="T162" t="str">
        <f t="shared" si="30"/>
        <v>High</v>
      </c>
      <c r="U162" t="str">
        <f t="shared" si="31"/>
        <v>Heavy Discount</v>
      </c>
      <c r="V162" t="str">
        <f t="shared" si="32"/>
        <v>Excellent Sales</v>
      </c>
      <c r="W162">
        <f t="shared" si="33"/>
        <v>99</v>
      </c>
      <c r="X162">
        <f t="shared" si="34"/>
        <v>106</v>
      </c>
      <c r="Y162">
        <f t="shared" si="35"/>
        <v>42</v>
      </c>
      <c r="Z162" t="str">
        <f t="shared" si="36"/>
        <v>Not Eligible</v>
      </c>
      <c r="AA162" t="str">
        <f t="shared" si="37"/>
        <v>Prriority Order</v>
      </c>
      <c r="AB162" t="str">
        <f t="shared" si="38"/>
        <v>Online</v>
      </c>
    </row>
    <row r="163" spans="1:28">
      <c r="A163" s="5">
        <v>10162</v>
      </c>
      <c r="B163" s="5">
        <v>1502</v>
      </c>
      <c r="C163" s="6">
        <v>45074</v>
      </c>
      <c r="D163" s="6">
        <v>45074</v>
      </c>
      <c r="E163" s="5" t="s">
        <v>103</v>
      </c>
      <c r="F163" s="5" t="s">
        <v>95</v>
      </c>
      <c r="G163" s="5" t="s">
        <v>90</v>
      </c>
      <c r="H163" s="5" t="s">
        <v>110</v>
      </c>
      <c r="I163" s="5" t="s">
        <v>132</v>
      </c>
      <c r="J163" s="5" t="s">
        <v>133</v>
      </c>
      <c r="K163" s="5" t="s">
        <v>99</v>
      </c>
      <c r="L163" s="5">
        <v>8</v>
      </c>
      <c r="M163" s="5">
        <v>1227.59</v>
      </c>
      <c r="N163" s="5">
        <v>5</v>
      </c>
      <c r="O163" s="5">
        <v>9329.68</v>
      </c>
      <c r="P163">
        <f t="shared" si="26"/>
        <v>9820.72</v>
      </c>
      <c r="Q163">
        <f t="shared" si="27"/>
        <v>491.036</v>
      </c>
      <c r="R163">
        <f t="shared" si="28"/>
        <v>9329.684</v>
      </c>
      <c r="S163" t="str">
        <f t="shared" si="29"/>
        <v>High</v>
      </c>
      <c r="T163" t="str">
        <f t="shared" si="30"/>
        <v>High</v>
      </c>
      <c r="U163" t="str">
        <f t="shared" si="31"/>
        <v>Heavy Discount</v>
      </c>
      <c r="V163" t="str">
        <f t="shared" si="32"/>
        <v>Excellent Sales</v>
      </c>
      <c r="W163">
        <f t="shared" si="33"/>
        <v>99</v>
      </c>
      <c r="X163">
        <f t="shared" si="34"/>
        <v>106</v>
      </c>
      <c r="Y163">
        <f t="shared" si="35"/>
        <v>42</v>
      </c>
      <c r="Z163" t="str">
        <f t="shared" si="36"/>
        <v>Not Eligible</v>
      </c>
      <c r="AA163" t="str">
        <f t="shared" si="37"/>
        <v>Prriority Order</v>
      </c>
      <c r="AB163" t="str">
        <f t="shared" si="38"/>
        <v>Online</v>
      </c>
    </row>
    <row r="164" spans="1:28">
      <c r="A164" s="5">
        <v>10163</v>
      </c>
      <c r="B164" s="5">
        <v>1406</v>
      </c>
      <c r="C164" s="6">
        <v>45249</v>
      </c>
      <c r="D164" s="6">
        <v>45249</v>
      </c>
      <c r="E164" s="5" t="s">
        <v>82</v>
      </c>
      <c r="F164" s="5" t="s">
        <v>89</v>
      </c>
      <c r="G164" s="5" t="s">
        <v>96</v>
      </c>
      <c r="H164" s="5" t="s">
        <v>110</v>
      </c>
      <c r="I164" s="5" t="s">
        <v>123</v>
      </c>
      <c r="J164" s="5" t="s">
        <v>124</v>
      </c>
      <c r="K164" s="5" t="s">
        <v>111</v>
      </c>
      <c r="L164" s="5">
        <v>1</v>
      </c>
      <c r="M164" s="5">
        <v>1219.22</v>
      </c>
      <c r="N164" s="5">
        <v>20</v>
      </c>
      <c r="O164" s="5">
        <v>975.38</v>
      </c>
      <c r="P164">
        <f t="shared" si="26"/>
        <v>1219.22</v>
      </c>
      <c r="Q164">
        <f t="shared" si="27"/>
        <v>243.844</v>
      </c>
      <c r="R164">
        <f t="shared" si="28"/>
        <v>975.376</v>
      </c>
      <c r="S164" t="str">
        <f t="shared" si="29"/>
        <v>Low</v>
      </c>
      <c r="T164" t="str">
        <f t="shared" si="30"/>
        <v>Low</v>
      </c>
      <c r="U164" t="str">
        <f t="shared" si="31"/>
        <v>Heavy Discount</v>
      </c>
      <c r="V164" t="str">
        <f t="shared" si="32"/>
        <v>Average</v>
      </c>
      <c r="W164">
        <f t="shared" si="33"/>
        <v>99</v>
      </c>
      <c r="X164">
        <f t="shared" si="34"/>
        <v>106</v>
      </c>
      <c r="Y164">
        <f t="shared" si="35"/>
        <v>42</v>
      </c>
      <c r="Z164" t="str">
        <f t="shared" si="36"/>
        <v>Not Eligible</v>
      </c>
      <c r="AA164" t="str">
        <f t="shared" si="37"/>
        <v>Normal Order</v>
      </c>
      <c r="AB164" t="str">
        <f t="shared" si="38"/>
        <v/>
      </c>
    </row>
    <row r="165" spans="1:28">
      <c r="A165" s="5">
        <v>10164</v>
      </c>
      <c r="B165" s="5">
        <v>1573</v>
      </c>
      <c r="C165" s="6">
        <v>45043</v>
      </c>
      <c r="D165" s="6">
        <v>45043</v>
      </c>
      <c r="E165" s="5" t="s">
        <v>106</v>
      </c>
      <c r="F165" s="5" t="s">
        <v>82</v>
      </c>
      <c r="G165" s="5" t="s">
        <v>90</v>
      </c>
      <c r="H165" s="5" t="s">
        <v>101</v>
      </c>
      <c r="I165" s="5" t="s">
        <v>123</v>
      </c>
      <c r="J165" s="5" t="s">
        <v>139</v>
      </c>
      <c r="K165" s="5" t="s">
        <v>111</v>
      </c>
      <c r="L165" s="5">
        <v>4</v>
      </c>
      <c r="M165" s="5">
        <v>288.33</v>
      </c>
      <c r="N165" s="5">
        <v>20</v>
      </c>
      <c r="O165" s="5">
        <v>922.66</v>
      </c>
      <c r="P165">
        <f t="shared" si="26"/>
        <v>1153.32</v>
      </c>
      <c r="Q165">
        <f t="shared" si="27"/>
        <v>230.664</v>
      </c>
      <c r="R165">
        <f t="shared" si="28"/>
        <v>922.656</v>
      </c>
      <c r="S165" t="str">
        <f t="shared" si="29"/>
        <v>Low</v>
      </c>
      <c r="T165" t="str">
        <f t="shared" si="30"/>
        <v>Low</v>
      </c>
      <c r="U165" t="str">
        <f t="shared" si="31"/>
        <v>Heavy Discount</v>
      </c>
      <c r="V165" t="str">
        <f t="shared" si="32"/>
        <v>Average</v>
      </c>
      <c r="W165">
        <f t="shared" si="33"/>
        <v>99</v>
      </c>
      <c r="X165">
        <f t="shared" si="34"/>
        <v>106</v>
      </c>
      <c r="Y165">
        <f t="shared" si="35"/>
        <v>42</v>
      </c>
      <c r="Z165" t="str">
        <f t="shared" si="36"/>
        <v>Not Eligible</v>
      </c>
      <c r="AA165" t="str">
        <f t="shared" si="37"/>
        <v>Normal Order</v>
      </c>
      <c r="AB165" t="str">
        <f t="shared" si="38"/>
        <v>Online</v>
      </c>
    </row>
    <row r="166" spans="1:28">
      <c r="A166" s="5">
        <v>10165</v>
      </c>
      <c r="B166" s="5">
        <v>1727</v>
      </c>
      <c r="C166" s="6">
        <v>45043</v>
      </c>
      <c r="D166" s="6">
        <v>45043</v>
      </c>
      <c r="E166" s="5" t="s">
        <v>100</v>
      </c>
      <c r="F166" s="5" t="s">
        <v>104</v>
      </c>
      <c r="G166" s="5" t="s">
        <v>90</v>
      </c>
      <c r="H166" s="5" t="s">
        <v>101</v>
      </c>
      <c r="I166" s="5" t="s">
        <v>132</v>
      </c>
      <c r="J166" s="5" t="s">
        <v>137</v>
      </c>
      <c r="K166" s="5" t="s">
        <v>94</v>
      </c>
      <c r="L166" s="5">
        <v>4</v>
      </c>
      <c r="M166" s="5">
        <v>3718.63</v>
      </c>
      <c r="N166" s="5">
        <v>20</v>
      </c>
      <c r="O166" s="5">
        <v>11899.62</v>
      </c>
      <c r="P166">
        <f t="shared" si="26"/>
        <v>14874.52</v>
      </c>
      <c r="Q166">
        <f t="shared" si="27"/>
        <v>2974.904</v>
      </c>
      <c r="R166">
        <f t="shared" si="28"/>
        <v>11899.616</v>
      </c>
      <c r="S166" t="str">
        <f t="shared" si="29"/>
        <v>Low</v>
      </c>
      <c r="T166" t="str">
        <f t="shared" si="30"/>
        <v>Low</v>
      </c>
      <c r="U166" t="str">
        <f t="shared" si="31"/>
        <v>Heavy Discount</v>
      </c>
      <c r="V166" t="str">
        <f t="shared" si="32"/>
        <v>Excellent Sales</v>
      </c>
      <c r="W166">
        <f t="shared" si="33"/>
        <v>99</v>
      </c>
      <c r="X166">
        <f t="shared" si="34"/>
        <v>106</v>
      </c>
      <c r="Y166">
        <f t="shared" si="35"/>
        <v>42</v>
      </c>
      <c r="Z166" t="str">
        <f t="shared" si="36"/>
        <v>Not Eligible</v>
      </c>
      <c r="AA166" t="str">
        <f t="shared" si="37"/>
        <v>Prriority Order</v>
      </c>
      <c r="AB166" t="str">
        <f t="shared" si="38"/>
        <v>Online</v>
      </c>
    </row>
    <row r="167" spans="1:28">
      <c r="A167" s="5">
        <v>10166</v>
      </c>
      <c r="B167" s="5">
        <v>1804</v>
      </c>
      <c r="C167" s="6">
        <v>45179</v>
      </c>
      <c r="D167" s="6">
        <v>45179</v>
      </c>
      <c r="E167" s="5" t="s">
        <v>82</v>
      </c>
      <c r="F167" s="5" t="s">
        <v>107</v>
      </c>
      <c r="G167" s="5" t="s">
        <v>96</v>
      </c>
      <c r="H167" s="5" t="s">
        <v>108</v>
      </c>
      <c r="I167" s="5" t="s">
        <v>92</v>
      </c>
      <c r="J167" s="5" t="s">
        <v>93</v>
      </c>
      <c r="K167" s="5" t="s">
        <v>87</v>
      </c>
      <c r="L167" s="5">
        <v>7</v>
      </c>
      <c r="M167" s="5">
        <v>972.74</v>
      </c>
      <c r="N167" s="5">
        <v>0</v>
      </c>
      <c r="O167" s="5">
        <v>6809.18</v>
      </c>
      <c r="P167">
        <f t="shared" si="26"/>
        <v>6809.18</v>
      </c>
      <c r="Q167">
        <f t="shared" si="27"/>
        <v>0</v>
      </c>
      <c r="R167">
        <f t="shared" si="28"/>
        <v>6809.18</v>
      </c>
      <c r="S167" t="str">
        <f t="shared" si="29"/>
        <v>High</v>
      </c>
      <c r="T167" t="str">
        <f t="shared" si="30"/>
        <v>High</v>
      </c>
      <c r="U167" t="str">
        <f t="shared" si="31"/>
        <v>Normal Discount</v>
      </c>
      <c r="V167" t="str">
        <f t="shared" si="32"/>
        <v>Good</v>
      </c>
      <c r="W167">
        <f t="shared" si="33"/>
        <v>99</v>
      </c>
      <c r="X167">
        <f t="shared" si="34"/>
        <v>106</v>
      </c>
      <c r="Y167">
        <f t="shared" si="35"/>
        <v>42</v>
      </c>
      <c r="Z167" t="str">
        <f t="shared" si="36"/>
        <v>Eligible</v>
      </c>
      <c r="AA167" t="str">
        <f t="shared" si="37"/>
        <v>Prriority Order</v>
      </c>
      <c r="AB167" t="str">
        <f t="shared" si="38"/>
        <v/>
      </c>
    </row>
    <row r="168" spans="1:28">
      <c r="A168" s="5">
        <v>10167</v>
      </c>
      <c r="B168" s="5">
        <v>1098</v>
      </c>
      <c r="C168" s="6">
        <v>45182</v>
      </c>
      <c r="D168" s="6">
        <v>45182</v>
      </c>
      <c r="E168" s="5" t="s">
        <v>106</v>
      </c>
      <c r="F168" s="5" t="s">
        <v>107</v>
      </c>
      <c r="G168" s="5" t="s">
        <v>96</v>
      </c>
      <c r="H168" s="5" t="s">
        <v>108</v>
      </c>
      <c r="I168" s="5" t="s">
        <v>97</v>
      </c>
      <c r="J168" s="5" t="s">
        <v>98</v>
      </c>
      <c r="K168" s="5" t="s">
        <v>111</v>
      </c>
      <c r="L168" s="5">
        <v>7</v>
      </c>
      <c r="M168" s="5">
        <v>1767.02</v>
      </c>
      <c r="N168" s="5">
        <v>15</v>
      </c>
      <c r="O168" s="5">
        <v>10513.77</v>
      </c>
      <c r="P168">
        <f t="shared" si="26"/>
        <v>12369.14</v>
      </c>
      <c r="Q168">
        <f t="shared" si="27"/>
        <v>1855.371</v>
      </c>
      <c r="R168">
        <f t="shared" si="28"/>
        <v>10513.769</v>
      </c>
      <c r="S168" t="str">
        <f t="shared" si="29"/>
        <v>High</v>
      </c>
      <c r="T168" t="str">
        <f t="shared" si="30"/>
        <v>High</v>
      </c>
      <c r="U168" t="str">
        <f t="shared" si="31"/>
        <v>Heavy Discount</v>
      </c>
      <c r="V168" t="str">
        <f t="shared" si="32"/>
        <v>Excellent Sales</v>
      </c>
      <c r="W168">
        <f t="shared" si="33"/>
        <v>99</v>
      </c>
      <c r="X168">
        <f t="shared" si="34"/>
        <v>106</v>
      </c>
      <c r="Y168">
        <f t="shared" si="35"/>
        <v>42</v>
      </c>
      <c r="Z168" t="str">
        <f t="shared" si="36"/>
        <v>Not Eligible</v>
      </c>
      <c r="AA168" t="str">
        <f t="shared" si="37"/>
        <v>Prriority Order</v>
      </c>
      <c r="AB168" t="str">
        <f t="shared" si="38"/>
        <v/>
      </c>
    </row>
    <row r="169" spans="1:28">
      <c r="A169" s="5">
        <v>10168</v>
      </c>
      <c r="B169" s="5">
        <v>1683</v>
      </c>
      <c r="C169" s="6">
        <v>45232</v>
      </c>
      <c r="D169" s="6">
        <v>45232</v>
      </c>
      <c r="E169" s="5" t="s">
        <v>103</v>
      </c>
      <c r="F169" s="5" t="s">
        <v>82</v>
      </c>
      <c r="G169" s="5" t="s">
        <v>96</v>
      </c>
      <c r="H169" s="5" t="s">
        <v>110</v>
      </c>
      <c r="I169" s="5" t="s">
        <v>123</v>
      </c>
      <c r="J169" s="5" t="s">
        <v>131</v>
      </c>
      <c r="K169" s="5" t="s">
        <v>111</v>
      </c>
      <c r="L169" s="5">
        <v>8</v>
      </c>
      <c r="M169" s="5">
        <v>187.29</v>
      </c>
      <c r="N169" s="5">
        <v>5</v>
      </c>
      <c r="O169" s="5">
        <v>1423.4</v>
      </c>
      <c r="P169">
        <f t="shared" si="26"/>
        <v>1498.32</v>
      </c>
      <c r="Q169">
        <f t="shared" si="27"/>
        <v>74.916</v>
      </c>
      <c r="R169">
        <f t="shared" si="28"/>
        <v>1423.404</v>
      </c>
      <c r="S169" t="str">
        <f t="shared" si="29"/>
        <v>High</v>
      </c>
      <c r="T169" t="str">
        <f t="shared" si="30"/>
        <v>High</v>
      </c>
      <c r="U169" t="str">
        <f t="shared" si="31"/>
        <v>Heavy Discount</v>
      </c>
      <c r="V169" t="str">
        <f t="shared" si="32"/>
        <v>Average</v>
      </c>
      <c r="W169">
        <f t="shared" si="33"/>
        <v>99</v>
      </c>
      <c r="X169">
        <f t="shared" si="34"/>
        <v>106</v>
      </c>
      <c r="Y169">
        <f t="shared" si="35"/>
        <v>42</v>
      </c>
      <c r="Z169" t="str">
        <f t="shared" si="36"/>
        <v>Not Eligible</v>
      </c>
      <c r="AA169" t="str">
        <f t="shared" si="37"/>
        <v>Prriority Order</v>
      </c>
      <c r="AB169" t="str">
        <f t="shared" si="38"/>
        <v/>
      </c>
    </row>
    <row r="170" spans="1:28">
      <c r="A170" s="5">
        <v>10169</v>
      </c>
      <c r="B170" s="5">
        <v>1871</v>
      </c>
      <c r="C170" s="6">
        <v>45247</v>
      </c>
      <c r="D170" s="6">
        <v>45247</v>
      </c>
      <c r="E170" s="5" t="s">
        <v>88</v>
      </c>
      <c r="F170" s="5" t="s">
        <v>95</v>
      </c>
      <c r="G170" s="5" t="s">
        <v>96</v>
      </c>
      <c r="H170" s="5" t="s">
        <v>110</v>
      </c>
      <c r="I170" s="5" t="s">
        <v>85</v>
      </c>
      <c r="J170" s="5" t="s">
        <v>129</v>
      </c>
      <c r="K170" s="5" t="s">
        <v>113</v>
      </c>
      <c r="L170" s="5">
        <v>5</v>
      </c>
      <c r="M170" s="5">
        <v>3453.13</v>
      </c>
      <c r="N170" s="5">
        <v>5</v>
      </c>
      <c r="O170" s="5">
        <v>16402.37</v>
      </c>
      <c r="P170">
        <f t="shared" si="26"/>
        <v>17265.65</v>
      </c>
      <c r="Q170">
        <f t="shared" si="27"/>
        <v>863.2825</v>
      </c>
      <c r="R170">
        <f t="shared" si="28"/>
        <v>16402.3675</v>
      </c>
      <c r="S170" t="str">
        <f t="shared" si="29"/>
        <v>High</v>
      </c>
      <c r="T170" t="str">
        <f t="shared" si="30"/>
        <v>Medium</v>
      </c>
      <c r="U170" t="str">
        <f t="shared" si="31"/>
        <v>Heavy Discount</v>
      </c>
      <c r="V170" t="str">
        <f t="shared" si="32"/>
        <v>Excellent Sales</v>
      </c>
      <c r="W170">
        <f t="shared" si="33"/>
        <v>99</v>
      </c>
      <c r="X170">
        <f t="shared" si="34"/>
        <v>106</v>
      </c>
      <c r="Y170">
        <f t="shared" si="35"/>
        <v>42</v>
      </c>
      <c r="Z170" t="str">
        <f t="shared" si="36"/>
        <v>Not Eligible</v>
      </c>
      <c r="AA170" t="str">
        <f t="shared" si="37"/>
        <v>Prriority Order</v>
      </c>
      <c r="AB170" t="str">
        <f t="shared" si="38"/>
        <v/>
      </c>
    </row>
    <row r="171" spans="1:28">
      <c r="A171" s="5">
        <v>10170</v>
      </c>
      <c r="B171" s="5">
        <v>1725</v>
      </c>
      <c r="C171" s="6">
        <v>45048</v>
      </c>
      <c r="D171" s="6">
        <v>45048</v>
      </c>
      <c r="E171" s="5" t="s">
        <v>103</v>
      </c>
      <c r="F171" s="5" t="s">
        <v>82</v>
      </c>
      <c r="G171" s="5" t="s">
        <v>90</v>
      </c>
      <c r="H171" s="5" t="s">
        <v>84</v>
      </c>
      <c r="I171" s="5" t="s">
        <v>97</v>
      </c>
      <c r="J171" s="5" t="s">
        <v>140</v>
      </c>
      <c r="K171" s="5" t="s">
        <v>99</v>
      </c>
      <c r="L171" s="5">
        <v>7</v>
      </c>
      <c r="M171" s="5">
        <v>2964.96</v>
      </c>
      <c r="N171" s="5">
        <v>5</v>
      </c>
      <c r="O171" s="5">
        <v>19716.98</v>
      </c>
      <c r="P171">
        <f t="shared" si="26"/>
        <v>20754.72</v>
      </c>
      <c r="Q171">
        <f t="shared" si="27"/>
        <v>1037.736</v>
      </c>
      <c r="R171">
        <f t="shared" si="28"/>
        <v>19716.984</v>
      </c>
      <c r="S171" t="str">
        <f t="shared" si="29"/>
        <v>High</v>
      </c>
      <c r="T171" t="str">
        <f t="shared" si="30"/>
        <v>High</v>
      </c>
      <c r="U171" t="str">
        <f t="shared" si="31"/>
        <v>Heavy Discount</v>
      </c>
      <c r="V171" t="str">
        <f t="shared" si="32"/>
        <v>Excellent Sales</v>
      </c>
      <c r="W171">
        <f t="shared" si="33"/>
        <v>99</v>
      </c>
      <c r="X171">
        <f t="shared" si="34"/>
        <v>106</v>
      </c>
      <c r="Y171">
        <f t="shared" si="35"/>
        <v>42</v>
      </c>
      <c r="Z171" t="str">
        <f t="shared" si="36"/>
        <v>Not Eligible</v>
      </c>
      <c r="AA171" t="str">
        <f t="shared" si="37"/>
        <v>Prriority Order</v>
      </c>
      <c r="AB171" t="str">
        <f t="shared" si="38"/>
        <v>Online</v>
      </c>
    </row>
    <row r="172" spans="1:28">
      <c r="A172" s="5">
        <v>10171</v>
      </c>
      <c r="B172" s="5">
        <v>1986</v>
      </c>
      <c r="C172" s="6">
        <v>45228</v>
      </c>
      <c r="D172" s="6">
        <v>45228</v>
      </c>
      <c r="E172" s="5" t="s">
        <v>81</v>
      </c>
      <c r="F172" s="5" t="s">
        <v>107</v>
      </c>
      <c r="G172" s="5" t="s">
        <v>90</v>
      </c>
      <c r="H172" s="5" t="s">
        <v>84</v>
      </c>
      <c r="I172" s="5" t="s">
        <v>85</v>
      </c>
      <c r="J172" s="5" t="s">
        <v>109</v>
      </c>
      <c r="K172" s="5" t="s">
        <v>87</v>
      </c>
      <c r="L172" s="5">
        <v>8</v>
      </c>
      <c r="M172" s="5">
        <v>3795.01</v>
      </c>
      <c r="N172" s="5">
        <v>5</v>
      </c>
      <c r="O172" s="5">
        <v>28842.08</v>
      </c>
      <c r="P172">
        <f t="shared" si="26"/>
        <v>30360.08</v>
      </c>
      <c r="Q172">
        <f t="shared" si="27"/>
        <v>1518.004</v>
      </c>
      <c r="R172">
        <f t="shared" si="28"/>
        <v>28842.076</v>
      </c>
      <c r="S172" t="str">
        <f t="shared" si="29"/>
        <v>High</v>
      </c>
      <c r="T172" t="str">
        <f t="shared" si="30"/>
        <v>High</v>
      </c>
      <c r="U172" t="str">
        <f t="shared" si="31"/>
        <v>Heavy Discount</v>
      </c>
      <c r="V172" t="str">
        <f t="shared" si="32"/>
        <v>Excellent Sales</v>
      </c>
      <c r="W172">
        <f t="shared" si="33"/>
        <v>99</v>
      </c>
      <c r="X172">
        <f t="shared" si="34"/>
        <v>106</v>
      </c>
      <c r="Y172">
        <f t="shared" si="35"/>
        <v>42</v>
      </c>
      <c r="Z172" t="str">
        <f t="shared" si="36"/>
        <v>Not Eligible</v>
      </c>
      <c r="AA172" t="str">
        <f t="shared" si="37"/>
        <v>Prriority Order</v>
      </c>
      <c r="AB172" t="str">
        <f t="shared" si="38"/>
        <v>Online</v>
      </c>
    </row>
    <row r="173" spans="1:28">
      <c r="A173" s="5">
        <v>10172</v>
      </c>
      <c r="B173" s="5">
        <v>1546</v>
      </c>
      <c r="C173" s="6">
        <v>45088</v>
      </c>
      <c r="D173" s="6">
        <v>45088</v>
      </c>
      <c r="E173" s="5" t="s">
        <v>112</v>
      </c>
      <c r="F173" s="5" t="s">
        <v>127</v>
      </c>
      <c r="G173" s="5" t="s">
        <v>83</v>
      </c>
      <c r="H173" s="5" t="s">
        <v>108</v>
      </c>
      <c r="I173" s="5" t="s">
        <v>115</v>
      </c>
      <c r="J173" s="5" t="s">
        <v>138</v>
      </c>
      <c r="K173" s="5" t="s">
        <v>113</v>
      </c>
      <c r="L173" s="5">
        <v>9</v>
      </c>
      <c r="M173" s="5">
        <v>3159.22</v>
      </c>
      <c r="N173" s="5">
        <v>20</v>
      </c>
      <c r="O173" s="5">
        <v>22746.38</v>
      </c>
      <c r="P173">
        <f t="shared" si="26"/>
        <v>28432.98</v>
      </c>
      <c r="Q173">
        <f t="shared" si="27"/>
        <v>5686.596</v>
      </c>
      <c r="R173">
        <f t="shared" si="28"/>
        <v>22746.384</v>
      </c>
      <c r="S173" t="str">
        <f t="shared" si="29"/>
        <v>High</v>
      </c>
      <c r="T173" t="str">
        <f t="shared" si="30"/>
        <v>High</v>
      </c>
      <c r="U173" t="str">
        <f t="shared" si="31"/>
        <v>Heavy Discount</v>
      </c>
      <c r="V173" t="str">
        <f t="shared" si="32"/>
        <v>Excellent Sales</v>
      </c>
      <c r="W173">
        <f t="shared" si="33"/>
        <v>99</v>
      </c>
      <c r="X173">
        <f t="shared" si="34"/>
        <v>106</v>
      </c>
      <c r="Y173">
        <f t="shared" si="35"/>
        <v>42</v>
      </c>
      <c r="Z173" t="str">
        <f t="shared" si="36"/>
        <v>Not Eligible</v>
      </c>
      <c r="AA173" t="str">
        <f t="shared" si="37"/>
        <v>Prriority Order</v>
      </c>
      <c r="AB173" t="str">
        <f t="shared" si="38"/>
        <v>Online</v>
      </c>
    </row>
    <row r="174" spans="1:28">
      <c r="A174" s="5">
        <v>10173</v>
      </c>
      <c r="B174" s="5">
        <v>1960</v>
      </c>
      <c r="C174" s="6">
        <v>45127</v>
      </c>
      <c r="D174" s="6">
        <v>45127</v>
      </c>
      <c r="E174" s="5" t="s">
        <v>81</v>
      </c>
      <c r="F174" s="5" t="s">
        <v>104</v>
      </c>
      <c r="G174" s="5" t="s">
        <v>90</v>
      </c>
      <c r="H174" s="5" t="s">
        <v>108</v>
      </c>
      <c r="I174" s="5" t="s">
        <v>97</v>
      </c>
      <c r="J174" s="5" t="s">
        <v>140</v>
      </c>
      <c r="K174" s="5" t="s">
        <v>94</v>
      </c>
      <c r="L174" s="5">
        <v>3</v>
      </c>
      <c r="M174" s="5">
        <v>1357.77</v>
      </c>
      <c r="N174" s="5">
        <v>5</v>
      </c>
      <c r="O174" s="5">
        <v>3869.64</v>
      </c>
      <c r="P174">
        <f t="shared" si="26"/>
        <v>4073.31</v>
      </c>
      <c r="Q174">
        <f t="shared" si="27"/>
        <v>203.6655</v>
      </c>
      <c r="R174">
        <f t="shared" si="28"/>
        <v>3869.6445</v>
      </c>
      <c r="S174" t="str">
        <f t="shared" si="29"/>
        <v>Low</v>
      </c>
      <c r="T174" t="str">
        <f t="shared" si="30"/>
        <v>Low</v>
      </c>
      <c r="U174" t="str">
        <f t="shared" si="31"/>
        <v>Heavy Discount</v>
      </c>
      <c r="V174" t="str">
        <f t="shared" si="32"/>
        <v>Average</v>
      </c>
      <c r="W174">
        <f t="shared" si="33"/>
        <v>99</v>
      </c>
      <c r="X174">
        <f t="shared" si="34"/>
        <v>106</v>
      </c>
      <c r="Y174">
        <f t="shared" si="35"/>
        <v>41</v>
      </c>
      <c r="Z174" t="str">
        <f t="shared" si="36"/>
        <v>Not Eligible</v>
      </c>
      <c r="AA174" t="str">
        <f t="shared" si="37"/>
        <v>Normal Order</v>
      </c>
      <c r="AB174" t="str">
        <f t="shared" si="38"/>
        <v>Online</v>
      </c>
    </row>
    <row r="175" spans="1:28">
      <c r="A175" s="5">
        <v>10174</v>
      </c>
      <c r="B175" s="5">
        <v>1738</v>
      </c>
      <c r="C175" s="6">
        <v>45195</v>
      </c>
      <c r="D175" s="6">
        <v>45195</v>
      </c>
      <c r="E175" s="5" t="s">
        <v>100</v>
      </c>
      <c r="F175" s="5" t="s">
        <v>82</v>
      </c>
      <c r="G175" s="5" t="s">
        <v>96</v>
      </c>
      <c r="H175" s="5" t="s">
        <v>84</v>
      </c>
      <c r="I175" s="5" t="s">
        <v>123</v>
      </c>
      <c r="J175" s="5" t="s">
        <v>124</v>
      </c>
      <c r="K175" s="5" t="s">
        <v>94</v>
      </c>
      <c r="L175" s="5">
        <v>3</v>
      </c>
      <c r="M175" s="5">
        <v>1104.31</v>
      </c>
      <c r="N175" s="5">
        <v>15</v>
      </c>
      <c r="O175" s="5">
        <v>2815.99</v>
      </c>
      <c r="P175">
        <f t="shared" si="26"/>
        <v>3312.93</v>
      </c>
      <c r="Q175">
        <f t="shared" si="27"/>
        <v>496.9395</v>
      </c>
      <c r="R175">
        <f t="shared" si="28"/>
        <v>2815.9905</v>
      </c>
      <c r="S175" t="str">
        <f t="shared" si="29"/>
        <v>Low</v>
      </c>
      <c r="T175" t="str">
        <f t="shared" si="30"/>
        <v>Low</v>
      </c>
      <c r="U175" t="str">
        <f t="shared" si="31"/>
        <v>Heavy Discount</v>
      </c>
      <c r="V175" t="str">
        <f t="shared" si="32"/>
        <v>Average</v>
      </c>
      <c r="W175">
        <f t="shared" si="33"/>
        <v>99</v>
      </c>
      <c r="X175">
        <f t="shared" si="34"/>
        <v>106</v>
      </c>
      <c r="Y175">
        <f t="shared" si="35"/>
        <v>41</v>
      </c>
      <c r="Z175" t="str">
        <f t="shared" si="36"/>
        <v>Not Eligible</v>
      </c>
      <c r="AA175" t="str">
        <f t="shared" si="37"/>
        <v>Normal Order</v>
      </c>
      <c r="AB175" t="str">
        <f t="shared" si="38"/>
        <v/>
      </c>
    </row>
    <row r="176" spans="1:28">
      <c r="A176" s="5">
        <v>10175</v>
      </c>
      <c r="B176" s="5">
        <v>1612</v>
      </c>
      <c r="C176" s="6">
        <v>45081</v>
      </c>
      <c r="D176" s="6">
        <v>45081</v>
      </c>
      <c r="E176" s="5" t="s">
        <v>82</v>
      </c>
      <c r="F176" s="5" t="s">
        <v>107</v>
      </c>
      <c r="G176" s="5" t="s">
        <v>83</v>
      </c>
      <c r="H176" s="5" t="s">
        <v>84</v>
      </c>
      <c r="I176" s="5" t="s">
        <v>97</v>
      </c>
      <c r="J176" s="5" t="s">
        <v>98</v>
      </c>
      <c r="K176" s="5" t="s">
        <v>111</v>
      </c>
      <c r="L176" s="5">
        <v>4</v>
      </c>
      <c r="M176" s="5">
        <v>2836.21</v>
      </c>
      <c r="N176" s="5">
        <v>20</v>
      </c>
      <c r="O176" s="5">
        <v>9075.87</v>
      </c>
      <c r="P176">
        <f t="shared" si="26"/>
        <v>11344.84</v>
      </c>
      <c r="Q176">
        <f t="shared" si="27"/>
        <v>2268.968</v>
      </c>
      <c r="R176">
        <f t="shared" si="28"/>
        <v>9075.872</v>
      </c>
      <c r="S176" t="str">
        <f t="shared" si="29"/>
        <v>Low</v>
      </c>
      <c r="T176" t="str">
        <f t="shared" si="30"/>
        <v>Low</v>
      </c>
      <c r="U176" t="str">
        <f t="shared" si="31"/>
        <v>Heavy Discount</v>
      </c>
      <c r="V176" t="str">
        <f t="shared" si="32"/>
        <v>Excellent Sales</v>
      </c>
      <c r="W176">
        <f t="shared" si="33"/>
        <v>99</v>
      </c>
      <c r="X176">
        <f t="shared" si="34"/>
        <v>106</v>
      </c>
      <c r="Y176">
        <f t="shared" si="35"/>
        <v>41</v>
      </c>
      <c r="Z176" t="str">
        <f t="shared" si="36"/>
        <v>Not Eligible</v>
      </c>
      <c r="AA176" t="str">
        <f t="shared" si="37"/>
        <v>Prriority Order</v>
      </c>
      <c r="AB176" t="str">
        <f t="shared" si="38"/>
        <v>Online</v>
      </c>
    </row>
    <row r="177" spans="1:28">
      <c r="A177" s="5">
        <v>10176</v>
      </c>
      <c r="B177" s="5">
        <v>1942</v>
      </c>
      <c r="C177" s="6">
        <v>45168</v>
      </c>
      <c r="D177" s="6">
        <v>45168</v>
      </c>
      <c r="E177" s="5" t="s">
        <v>100</v>
      </c>
      <c r="F177" s="5" t="s">
        <v>95</v>
      </c>
      <c r="G177" s="5" t="s">
        <v>96</v>
      </c>
      <c r="H177" s="5" t="s">
        <v>91</v>
      </c>
      <c r="I177" s="5" t="s">
        <v>97</v>
      </c>
      <c r="J177" s="5" t="s">
        <v>105</v>
      </c>
      <c r="K177" s="5" t="s">
        <v>111</v>
      </c>
      <c r="L177" s="5">
        <v>5</v>
      </c>
      <c r="M177" s="5">
        <v>1551.83</v>
      </c>
      <c r="N177" s="5">
        <v>5</v>
      </c>
      <c r="O177" s="5">
        <v>7371.19</v>
      </c>
      <c r="P177">
        <f t="shared" si="26"/>
        <v>7759.15</v>
      </c>
      <c r="Q177">
        <f t="shared" si="27"/>
        <v>387.9575</v>
      </c>
      <c r="R177">
        <f t="shared" si="28"/>
        <v>7371.1925</v>
      </c>
      <c r="S177" t="str">
        <f t="shared" si="29"/>
        <v>High</v>
      </c>
      <c r="T177" t="str">
        <f t="shared" si="30"/>
        <v>Medium</v>
      </c>
      <c r="U177" t="str">
        <f t="shared" si="31"/>
        <v>Heavy Discount</v>
      </c>
      <c r="V177" t="str">
        <f t="shared" si="32"/>
        <v>Excellent Sales</v>
      </c>
      <c r="W177">
        <f t="shared" si="33"/>
        <v>99</v>
      </c>
      <c r="X177">
        <f t="shared" si="34"/>
        <v>106</v>
      </c>
      <c r="Y177">
        <f t="shared" si="35"/>
        <v>41</v>
      </c>
      <c r="Z177" t="str">
        <f t="shared" si="36"/>
        <v>Not Eligible</v>
      </c>
      <c r="AA177" t="str">
        <f t="shared" si="37"/>
        <v>Prriority Order</v>
      </c>
      <c r="AB177" t="str">
        <f t="shared" si="38"/>
        <v/>
      </c>
    </row>
    <row r="178" spans="1:28">
      <c r="A178" s="5">
        <v>10177</v>
      </c>
      <c r="B178" s="5">
        <v>1461</v>
      </c>
      <c r="C178" s="6">
        <v>44982</v>
      </c>
      <c r="D178" s="6">
        <v>44982</v>
      </c>
      <c r="E178" s="5" t="s">
        <v>88</v>
      </c>
      <c r="F178" s="5" t="s">
        <v>107</v>
      </c>
      <c r="G178" s="5" t="s">
        <v>90</v>
      </c>
      <c r="H178" s="5" t="s">
        <v>91</v>
      </c>
      <c r="I178" s="5" t="s">
        <v>97</v>
      </c>
      <c r="J178" s="5" t="s">
        <v>98</v>
      </c>
      <c r="K178" s="5" t="s">
        <v>94</v>
      </c>
      <c r="L178" s="5">
        <v>1</v>
      </c>
      <c r="M178" s="5">
        <v>2329.93</v>
      </c>
      <c r="N178" s="5">
        <v>0</v>
      </c>
      <c r="O178" s="5">
        <v>2329.93</v>
      </c>
      <c r="P178">
        <f t="shared" si="26"/>
        <v>2329.93</v>
      </c>
      <c r="Q178">
        <f t="shared" si="27"/>
        <v>0</v>
      </c>
      <c r="R178">
        <f t="shared" si="28"/>
        <v>2329.93</v>
      </c>
      <c r="S178" t="str">
        <f t="shared" si="29"/>
        <v>Low</v>
      </c>
      <c r="T178" t="str">
        <f t="shared" si="30"/>
        <v>Low</v>
      </c>
      <c r="U178" t="str">
        <f t="shared" si="31"/>
        <v>Normal Discount</v>
      </c>
      <c r="V178" t="str">
        <f t="shared" si="32"/>
        <v>Average</v>
      </c>
      <c r="W178">
        <f t="shared" si="33"/>
        <v>99</v>
      </c>
      <c r="X178">
        <f t="shared" si="34"/>
        <v>106</v>
      </c>
      <c r="Y178">
        <f t="shared" si="35"/>
        <v>41</v>
      </c>
      <c r="Z178" t="str">
        <f t="shared" si="36"/>
        <v>Eligible</v>
      </c>
      <c r="AA178" t="str">
        <f t="shared" si="37"/>
        <v>Normal Order</v>
      </c>
      <c r="AB178" t="str">
        <f t="shared" si="38"/>
        <v>Online</v>
      </c>
    </row>
    <row r="179" spans="1:28">
      <c r="A179" s="5">
        <v>10178</v>
      </c>
      <c r="B179" s="5">
        <v>1642</v>
      </c>
      <c r="C179" s="6">
        <v>45126</v>
      </c>
      <c r="D179" s="6">
        <v>45126</v>
      </c>
      <c r="E179" s="5" t="s">
        <v>106</v>
      </c>
      <c r="F179" s="5" t="s">
        <v>95</v>
      </c>
      <c r="G179" s="5" t="s">
        <v>83</v>
      </c>
      <c r="H179" s="5" t="s">
        <v>84</v>
      </c>
      <c r="I179" s="5" t="s">
        <v>92</v>
      </c>
      <c r="J179" s="5" t="s">
        <v>136</v>
      </c>
      <c r="K179" s="5" t="s">
        <v>111</v>
      </c>
      <c r="L179" s="5">
        <v>7</v>
      </c>
      <c r="M179" s="5">
        <v>174.09</v>
      </c>
      <c r="N179" s="5">
        <v>10</v>
      </c>
      <c r="O179" s="5">
        <v>1096.77</v>
      </c>
      <c r="P179">
        <f t="shared" si="26"/>
        <v>1218.63</v>
      </c>
      <c r="Q179">
        <f t="shared" si="27"/>
        <v>121.863</v>
      </c>
      <c r="R179">
        <f t="shared" si="28"/>
        <v>1096.767</v>
      </c>
      <c r="S179" t="str">
        <f t="shared" si="29"/>
        <v>High</v>
      </c>
      <c r="T179" t="str">
        <f t="shared" si="30"/>
        <v>High</v>
      </c>
      <c r="U179" t="str">
        <f t="shared" si="31"/>
        <v>Heavy Discount</v>
      </c>
      <c r="V179" t="str">
        <f t="shared" si="32"/>
        <v>Average</v>
      </c>
      <c r="W179">
        <f t="shared" si="33"/>
        <v>99</v>
      </c>
      <c r="X179">
        <f t="shared" si="34"/>
        <v>106</v>
      </c>
      <c r="Y179">
        <f t="shared" si="35"/>
        <v>41</v>
      </c>
      <c r="Z179" t="str">
        <f t="shared" si="36"/>
        <v>Not Eligible</v>
      </c>
      <c r="AA179" t="str">
        <f t="shared" si="37"/>
        <v>Prriority Order</v>
      </c>
      <c r="AB179" t="str">
        <f t="shared" si="38"/>
        <v>Online</v>
      </c>
    </row>
    <row r="180" spans="1:28">
      <c r="A180" s="5">
        <v>10179</v>
      </c>
      <c r="B180" s="5">
        <v>1768</v>
      </c>
      <c r="C180" s="6">
        <v>44976</v>
      </c>
      <c r="D180" s="6">
        <v>44976</v>
      </c>
      <c r="E180" s="5" t="s">
        <v>103</v>
      </c>
      <c r="F180" s="5" t="s">
        <v>82</v>
      </c>
      <c r="G180" s="5" t="s">
        <v>96</v>
      </c>
      <c r="H180" s="5" t="s">
        <v>91</v>
      </c>
      <c r="I180" s="5" t="s">
        <v>97</v>
      </c>
      <c r="J180" s="5" t="s">
        <v>98</v>
      </c>
      <c r="K180" s="5" t="s">
        <v>87</v>
      </c>
      <c r="L180" s="5">
        <v>9</v>
      </c>
      <c r="M180" s="5">
        <v>388.26</v>
      </c>
      <c r="N180" s="5">
        <v>10</v>
      </c>
      <c r="O180" s="5">
        <v>3144.91</v>
      </c>
      <c r="P180">
        <f t="shared" si="26"/>
        <v>3494.34</v>
      </c>
      <c r="Q180">
        <f t="shared" si="27"/>
        <v>349.434</v>
      </c>
      <c r="R180">
        <f t="shared" si="28"/>
        <v>3144.906</v>
      </c>
      <c r="S180" t="str">
        <f t="shared" si="29"/>
        <v>High</v>
      </c>
      <c r="T180" t="str">
        <f t="shared" si="30"/>
        <v>High</v>
      </c>
      <c r="U180" t="str">
        <f t="shared" si="31"/>
        <v>Heavy Discount</v>
      </c>
      <c r="V180" t="str">
        <f t="shared" si="32"/>
        <v>Average</v>
      </c>
      <c r="W180">
        <f t="shared" si="33"/>
        <v>99</v>
      </c>
      <c r="X180">
        <f t="shared" si="34"/>
        <v>106</v>
      </c>
      <c r="Y180">
        <f t="shared" si="35"/>
        <v>41</v>
      </c>
      <c r="Z180" t="str">
        <f t="shared" si="36"/>
        <v>Not Eligible</v>
      </c>
      <c r="AA180" t="str">
        <f t="shared" si="37"/>
        <v>Prriority Order</v>
      </c>
      <c r="AB180" t="str">
        <f t="shared" si="38"/>
        <v/>
      </c>
    </row>
    <row r="181" spans="1:28">
      <c r="A181" s="5">
        <v>10180</v>
      </c>
      <c r="B181" s="5">
        <v>1004</v>
      </c>
      <c r="C181" s="6">
        <v>45006</v>
      </c>
      <c r="D181" s="6">
        <v>45006</v>
      </c>
      <c r="E181" s="5" t="s">
        <v>81</v>
      </c>
      <c r="F181" s="5" t="s">
        <v>95</v>
      </c>
      <c r="G181" s="5" t="s">
        <v>83</v>
      </c>
      <c r="H181" s="5" t="s">
        <v>101</v>
      </c>
      <c r="I181" s="5" t="s">
        <v>85</v>
      </c>
      <c r="J181" s="5" t="s">
        <v>109</v>
      </c>
      <c r="K181" s="5" t="s">
        <v>111</v>
      </c>
      <c r="L181" s="5">
        <v>8</v>
      </c>
      <c r="M181" s="5">
        <v>2211.17</v>
      </c>
      <c r="N181" s="5">
        <v>10</v>
      </c>
      <c r="O181" s="5">
        <v>15920.42</v>
      </c>
      <c r="P181">
        <f t="shared" si="26"/>
        <v>17689.36</v>
      </c>
      <c r="Q181">
        <f t="shared" si="27"/>
        <v>1768.936</v>
      </c>
      <c r="R181">
        <f t="shared" si="28"/>
        <v>15920.424</v>
      </c>
      <c r="S181" t="str">
        <f t="shared" si="29"/>
        <v>High</v>
      </c>
      <c r="T181" t="str">
        <f t="shared" si="30"/>
        <v>High</v>
      </c>
      <c r="U181" t="str">
        <f t="shared" si="31"/>
        <v>Heavy Discount</v>
      </c>
      <c r="V181" t="str">
        <f t="shared" si="32"/>
        <v>Excellent Sales</v>
      </c>
      <c r="W181">
        <f t="shared" si="33"/>
        <v>99</v>
      </c>
      <c r="X181">
        <f t="shared" si="34"/>
        <v>106</v>
      </c>
      <c r="Y181">
        <f t="shared" si="35"/>
        <v>41</v>
      </c>
      <c r="Z181" t="str">
        <f t="shared" si="36"/>
        <v>Not Eligible</v>
      </c>
      <c r="AA181" t="str">
        <f t="shared" si="37"/>
        <v>Prriority Order</v>
      </c>
      <c r="AB181" t="str">
        <f t="shared" si="38"/>
        <v>Online</v>
      </c>
    </row>
    <row r="182" spans="1:28">
      <c r="A182" s="5">
        <v>10181</v>
      </c>
      <c r="B182" s="5">
        <v>1217</v>
      </c>
      <c r="C182" s="6">
        <v>45053</v>
      </c>
      <c r="D182" s="6">
        <v>45053</v>
      </c>
      <c r="E182" s="5" t="s">
        <v>81</v>
      </c>
      <c r="F182" s="5" t="s">
        <v>89</v>
      </c>
      <c r="G182" s="5" t="s">
        <v>83</v>
      </c>
      <c r="H182" s="5" t="s">
        <v>108</v>
      </c>
      <c r="I182" s="5" t="s">
        <v>115</v>
      </c>
      <c r="J182" s="5" t="s">
        <v>116</v>
      </c>
      <c r="K182" s="5" t="s">
        <v>99</v>
      </c>
      <c r="L182" s="5">
        <v>5</v>
      </c>
      <c r="M182" s="5">
        <v>2329.38</v>
      </c>
      <c r="N182" s="5">
        <v>20</v>
      </c>
      <c r="O182" s="5">
        <v>9317.52</v>
      </c>
      <c r="P182">
        <f t="shared" si="26"/>
        <v>11646.9</v>
      </c>
      <c r="Q182">
        <f t="shared" si="27"/>
        <v>2329.38</v>
      </c>
      <c r="R182">
        <f t="shared" si="28"/>
        <v>9317.52</v>
      </c>
      <c r="S182" t="str">
        <f t="shared" si="29"/>
        <v>High</v>
      </c>
      <c r="T182" t="str">
        <f t="shared" si="30"/>
        <v>Medium</v>
      </c>
      <c r="U182" t="str">
        <f t="shared" si="31"/>
        <v>Heavy Discount</v>
      </c>
      <c r="V182" t="str">
        <f t="shared" si="32"/>
        <v>Excellent Sales</v>
      </c>
      <c r="W182">
        <f t="shared" si="33"/>
        <v>99</v>
      </c>
      <c r="X182">
        <f t="shared" si="34"/>
        <v>106</v>
      </c>
      <c r="Y182">
        <f t="shared" si="35"/>
        <v>41</v>
      </c>
      <c r="Z182" t="str">
        <f t="shared" si="36"/>
        <v>Not Eligible</v>
      </c>
      <c r="AA182" t="str">
        <f t="shared" si="37"/>
        <v>Prriority Order</v>
      </c>
      <c r="AB182" t="str">
        <f t="shared" si="38"/>
        <v>Online</v>
      </c>
    </row>
    <row r="183" spans="1:28">
      <c r="A183" s="5">
        <v>10182</v>
      </c>
      <c r="B183" s="5">
        <v>1502</v>
      </c>
      <c r="C183" s="6">
        <v>45007</v>
      </c>
      <c r="D183" s="6">
        <v>45007</v>
      </c>
      <c r="E183" s="5" t="s">
        <v>88</v>
      </c>
      <c r="F183" s="5" t="s">
        <v>89</v>
      </c>
      <c r="G183" s="5" t="s">
        <v>90</v>
      </c>
      <c r="H183" s="5" t="s">
        <v>108</v>
      </c>
      <c r="I183" s="5" t="s">
        <v>132</v>
      </c>
      <c r="J183" s="5" t="s">
        <v>134</v>
      </c>
      <c r="K183" s="5" t="s">
        <v>111</v>
      </c>
      <c r="L183" s="5">
        <v>4</v>
      </c>
      <c r="M183" s="5">
        <v>3043.09</v>
      </c>
      <c r="N183" s="5">
        <v>5</v>
      </c>
      <c r="O183" s="5">
        <v>11563.74</v>
      </c>
      <c r="P183">
        <f t="shared" si="26"/>
        <v>12172.36</v>
      </c>
      <c r="Q183">
        <f t="shared" si="27"/>
        <v>608.618</v>
      </c>
      <c r="R183">
        <f t="shared" si="28"/>
        <v>11563.742</v>
      </c>
      <c r="S183" t="str">
        <f t="shared" si="29"/>
        <v>Low</v>
      </c>
      <c r="T183" t="str">
        <f t="shared" si="30"/>
        <v>Low</v>
      </c>
      <c r="U183" t="str">
        <f t="shared" si="31"/>
        <v>Heavy Discount</v>
      </c>
      <c r="V183" t="str">
        <f t="shared" si="32"/>
        <v>Excellent Sales</v>
      </c>
      <c r="W183">
        <f t="shared" si="33"/>
        <v>99</v>
      </c>
      <c r="X183">
        <f t="shared" si="34"/>
        <v>106</v>
      </c>
      <c r="Y183">
        <f t="shared" si="35"/>
        <v>40</v>
      </c>
      <c r="Z183" t="str">
        <f t="shared" si="36"/>
        <v>Not Eligible</v>
      </c>
      <c r="AA183" t="str">
        <f t="shared" si="37"/>
        <v>Prriority Order</v>
      </c>
      <c r="AB183" t="str">
        <f t="shared" si="38"/>
        <v>Online</v>
      </c>
    </row>
    <row r="184" spans="1:28">
      <c r="A184" s="5">
        <v>10183</v>
      </c>
      <c r="B184" s="5">
        <v>1766</v>
      </c>
      <c r="C184" s="6">
        <v>45294</v>
      </c>
      <c r="D184" s="6">
        <v>45294</v>
      </c>
      <c r="E184" s="5" t="s">
        <v>81</v>
      </c>
      <c r="F184" s="5" t="s">
        <v>89</v>
      </c>
      <c r="G184" s="5" t="s">
        <v>96</v>
      </c>
      <c r="H184" s="5" t="s">
        <v>84</v>
      </c>
      <c r="I184" s="5" t="s">
        <v>97</v>
      </c>
      <c r="J184" s="5" t="s">
        <v>105</v>
      </c>
      <c r="K184" s="5" t="s">
        <v>113</v>
      </c>
      <c r="L184" s="5">
        <v>7</v>
      </c>
      <c r="M184" s="5">
        <v>658.07</v>
      </c>
      <c r="N184" s="5">
        <v>20</v>
      </c>
      <c r="O184" s="5">
        <v>3685.19</v>
      </c>
      <c r="P184">
        <f t="shared" si="26"/>
        <v>4606.49</v>
      </c>
      <c r="Q184">
        <f t="shared" si="27"/>
        <v>921.298</v>
      </c>
      <c r="R184">
        <f t="shared" si="28"/>
        <v>3685.192</v>
      </c>
      <c r="S184" t="str">
        <f t="shared" si="29"/>
        <v>High</v>
      </c>
      <c r="T184" t="str">
        <f t="shared" si="30"/>
        <v>High</v>
      </c>
      <c r="U184" t="str">
        <f t="shared" si="31"/>
        <v>Heavy Discount</v>
      </c>
      <c r="V184" t="str">
        <f t="shared" si="32"/>
        <v>Average</v>
      </c>
      <c r="W184">
        <f t="shared" si="33"/>
        <v>99</v>
      </c>
      <c r="X184">
        <f t="shared" si="34"/>
        <v>106</v>
      </c>
      <c r="Y184">
        <f t="shared" si="35"/>
        <v>40</v>
      </c>
      <c r="Z184" t="str">
        <f t="shared" si="36"/>
        <v>Not Eligible</v>
      </c>
      <c r="AA184" t="str">
        <f t="shared" si="37"/>
        <v>Prriority Order</v>
      </c>
      <c r="AB184" t="str">
        <f t="shared" si="38"/>
        <v/>
      </c>
    </row>
    <row r="185" spans="1:28">
      <c r="A185" s="5">
        <v>10184</v>
      </c>
      <c r="B185" s="5">
        <v>1397</v>
      </c>
      <c r="C185" s="6">
        <v>45072</v>
      </c>
      <c r="D185" s="6">
        <v>45072</v>
      </c>
      <c r="E185" s="5" t="s">
        <v>88</v>
      </c>
      <c r="F185" s="5" t="s">
        <v>127</v>
      </c>
      <c r="G185" s="5" t="s">
        <v>83</v>
      </c>
      <c r="H185" s="5" t="s">
        <v>110</v>
      </c>
      <c r="I185" s="5" t="s">
        <v>123</v>
      </c>
      <c r="J185" s="5" t="s">
        <v>139</v>
      </c>
      <c r="K185" s="5" t="s">
        <v>87</v>
      </c>
      <c r="L185" s="5">
        <v>5</v>
      </c>
      <c r="M185" s="5">
        <v>2125.75</v>
      </c>
      <c r="N185" s="5">
        <v>15</v>
      </c>
      <c r="O185" s="5">
        <v>9034.44</v>
      </c>
      <c r="P185">
        <f t="shared" si="26"/>
        <v>10628.75</v>
      </c>
      <c r="Q185">
        <f t="shared" si="27"/>
        <v>1594.3125</v>
      </c>
      <c r="R185">
        <f t="shared" si="28"/>
        <v>9034.4375</v>
      </c>
      <c r="S185" t="str">
        <f t="shared" si="29"/>
        <v>High</v>
      </c>
      <c r="T185" t="str">
        <f t="shared" si="30"/>
        <v>Medium</v>
      </c>
      <c r="U185" t="str">
        <f t="shared" si="31"/>
        <v>Heavy Discount</v>
      </c>
      <c r="V185" t="str">
        <f t="shared" si="32"/>
        <v>Excellent Sales</v>
      </c>
      <c r="W185">
        <f t="shared" si="33"/>
        <v>99</v>
      </c>
      <c r="X185">
        <f t="shared" si="34"/>
        <v>106</v>
      </c>
      <c r="Y185">
        <f t="shared" si="35"/>
        <v>40</v>
      </c>
      <c r="Z185" t="str">
        <f t="shared" si="36"/>
        <v>Not Eligible</v>
      </c>
      <c r="AA185" t="str">
        <f t="shared" si="37"/>
        <v>Prriority Order</v>
      </c>
      <c r="AB185" t="str">
        <f t="shared" si="38"/>
        <v>Online</v>
      </c>
    </row>
    <row r="186" spans="1:28">
      <c r="A186" s="5">
        <v>10185</v>
      </c>
      <c r="B186" s="5">
        <v>1870</v>
      </c>
      <c r="C186" s="6">
        <v>45023</v>
      </c>
      <c r="D186" s="6">
        <v>45023</v>
      </c>
      <c r="E186" s="5" t="s">
        <v>100</v>
      </c>
      <c r="F186" s="5" t="s">
        <v>82</v>
      </c>
      <c r="G186" s="5" t="s">
        <v>83</v>
      </c>
      <c r="H186" s="5" t="s">
        <v>84</v>
      </c>
      <c r="I186" s="5" t="s">
        <v>97</v>
      </c>
      <c r="J186" s="5" t="s">
        <v>105</v>
      </c>
      <c r="K186" s="5" t="s">
        <v>113</v>
      </c>
      <c r="L186" s="5">
        <v>7</v>
      </c>
      <c r="M186" s="5">
        <v>898.62</v>
      </c>
      <c r="N186" s="5">
        <v>0</v>
      </c>
      <c r="O186" s="5">
        <v>6290.34</v>
      </c>
      <c r="P186">
        <f t="shared" si="26"/>
        <v>6290.34</v>
      </c>
      <c r="Q186">
        <f t="shared" si="27"/>
        <v>0</v>
      </c>
      <c r="R186">
        <f t="shared" si="28"/>
        <v>6290.34</v>
      </c>
      <c r="S186" t="str">
        <f t="shared" si="29"/>
        <v>High</v>
      </c>
      <c r="T186" t="str">
        <f t="shared" si="30"/>
        <v>High</v>
      </c>
      <c r="U186" t="str">
        <f t="shared" si="31"/>
        <v>Normal Discount</v>
      </c>
      <c r="V186" t="str">
        <f t="shared" si="32"/>
        <v>Good</v>
      </c>
      <c r="W186">
        <f t="shared" si="33"/>
        <v>99</v>
      </c>
      <c r="X186">
        <f t="shared" si="34"/>
        <v>106</v>
      </c>
      <c r="Y186">
        <f t="shared" si="35"/>
        <v>40</v>
      </c>
      <c r="Z186" t="str">
        <f t="shared" si="36"/>
        <v>Eligible</v>
      </c>
      <c r="AA186" t="str">
        <f t="shared" si="37"/>
        <v>Prriority Order</v>
      </c>
      <c r="AB186" t="str">
        <f t="shared" si="38"/>
        <v>Online</v>
      </c>
    </row>
    <row r="187" spans="1:28">
      <c r="A187" s="5">
        <v>10186</v>
      </c>
      <c r="B187" s="5">
        <v>1794</v>
      </c>
      <c r="C187" s="6">
        <v>45254</v>
      </c>
      <c r="D187" s="6">
        <v>45254</v>
      </c>
      <c r="E187" s="5" t="s">
        <v>103</v>
      </c>
      <c r="F187" s="5" t="s">
        <v>107</v>
      </c>
      <c r="G187" s="5" t="s">
        <v>96</v>
      </c>
      <c r="H187" s="5" t="s">
        <v>91</v>
      </c>
      <c r="I187" s="5" t="s">
        <v>123</v>
      </c>
      <c r="J187" s="5" t="s">
        <v>131</v>
      </c>
      <c r="K187" s="5" t="s">
        <v>113</v>
      </c>
      <c r="L187" s="5">
        <v>1</v>
      </c>
      <c r="M187" s="5">
        <v>508.81</v>
      </c>
      <c r="N187" s="5">
        <v>0</v>
      </c>
      <c r="O187" s="5">
        <v>508.81</v>
      </c>
      <c r="P187">
        <f t="shared" si="26"/>
        <v>508.81</v>
      </c>
      <c r="Q187">
        <f t="shared" si="27"/>
        <v>0</v>
      </c>
      <c r="R187">
        <f t="shared" si="28"/>
        <v>508.81</v>
      </c>
      <c r="S187" t="str">
        <f t="shared" si="29"/>
        <v>Low</v>
      </c>
      <c r="T187" t="str">
        <f t="shared" si="30"/>
        <v>Low</v>
      </c>
      <c r="U187" t="str">
        <f t="shared" si="31"/>
        <v>Normal Discount</v>
      </c>
      <c r="V187" t="str">
        <f t="shared" si="32"/>
        <v>Average</v>
      </c>
      <c r="W187">
        <f t="shared" si="33"/>
        <v>99</v>
      </c>
      <c r="X187">
        <f t="shared" si="34"/>
        <v>106</v>
      </c>
      <c r="Y187">
        <f t="shared" si="35"/>
        <v>40</v>
      </c>
      <c r="Z187" t="str">
        <f t="shared" si="36"/>
        <v>Eligible</v>
      </c>
      <c r="AA187" t="str">
        <f t="shared" si="37"/>
        <v>Normal Order</v>
      </c>
      <c r="AB187" t="str">
        <f t="shared" si="38"/>
        <v/>
      </c>
    </row>
    <row r="188" spans="1:28">
      <c r="A188" s="5">
        <v>10187</v>
      </c>
      <c r="B188" s="5">
        <v>1392</v>
      </c>
      <c r="C188" s="6">
        <v>44991</v>
      </c>
      <c r="D188" s="6">
        <v>44991</v>
      </c>
      <c r="E188" s="5" t="s">
        <v>82</v>
      </c>
      <c r="F188" s="5" t="s">
        <v>107</v>
      </c>
      <c r="G188" s="5" t="s">
        <v>83</v>
      </c>
      <c r="H188" s="5" t="s">
        <v>110</v>
      </c>
      <c r="I188" s="5" t="s">
        <v>85</v>
      </c>
      <c r="J188" s="5" t="s">
        <v>109</v>
      </c>
      <c r="K188" s="5" t="s">
        <v>99</v>
      </c>
      <c r="L188" s="5">
        <v>1</v>
      </c>
      <c r="M188" s="5">
        <v>1730.41</v>
      </c>
      <c r="N188" s="5">
        <v>10</v>
      </c>
      <c r="O188" s="5">
        <v>1557.37</v>
      </c>
      <c r="P188">
        <f t="shared" si="26"/>
        <v>1730.41</v>
      </c>
      <c r="Q188">
        <f t="shared" si="27"/>
        <v>173.041</v>
      </c>
      <c r="R188">
        <f t="shared" si="28"/>
        <v>1557.369</v>
      </c>
      <c r="S188" t="str">
        <f t="shared" si="29"/>
        <v>Low</v>
      </c>
      <c r="T188" t="str">
        <f t="shared" si="30"/>
        <v>Low</v>
      </c>
      <c r="U188" t="str">
        <f t="shared" si="31"/>
        <v>Heavy Discount</v>
      </c>
      <c r="V188" t="str">
        <f t="shared" si="32"/>
        <v>Average</v>
      </c>
      <c r="W188">
        <f t="shared" si="33"/>
        <v>99</v>
      </c>
      <c r="X188">
        <f t="shared" si="34"/>
        <v>106</v>
      </c>
      <c r="Y188">
        <f t="shared" si="35"/>
        <v>40</v>
      </c>
      <c r="Z188" t="str">
        <f t="shared" si="36"/>
        <v>Not Eligible</v>
      </c>
      <c r="AA188" t="str">
        <f t="shared" si="37"/>
        <v>Normal Order</v>
      </c>
      <c r="AB188" t="str">
        <f t="shared" si="38"/>
        <v>Online</v>
      </c>
    </row>
    <row r="189" spans="1:28">
      <c r="A189" s="5">
        <v>10188</v>
      </c>
      <c r="B189" s="5">
        <v>1206</v>
      </c>
      <c r="C189" s="6">
        <v>45070</v>
      </c>
      <c r="D189" s="6">
        <v>45070</v>
      </c>
      <c r="E189" s="5" t="s">
        <v>106</v>
      </c>
      <c r="F189" s="5" t="s">
        <v>127</v>
      </c>
      <c r="G189" s="5" t="s">
        <v>83</v>
      </c>
      <c r="H189" s="5" t="s">
        <v>91</v>
      </c>
      <c r="I189" s="5" t="s">
        <v>123</v>
      </c>
      <c r="J189" s="5" t="s">
        <v>124</v>
      </c>
      <c r="K189" s="5" t="s">
        <v>87</v>
      </c>
      <c r="L189" s="5">
        <v>3</v>
      </c>
      <c r="M189" s="5">
        <v>778.85</v>
      </c>
      <c r="N189" s="5">
        <v>10</v>
      </c>
      <c r="O189" s="5">
        <v>2102.89</v>
      </c>
      <c r="P189">
        <f t="shared" si="26"/>
        <v>2336.55</v>
      </c>
      <c r="Q189">
        <f t="shared" si="27"/>
        <v>233.655</v>
      </c>
      <c r="R189">
        <f t="shared" si="28"/>
        <v>2102.895</v>
      </c>
      <c r="S189" t="str">
        <f t="shared" si="29"/>
        <v>Low</v>
      </c>
      <c r="T189" t="str">
        <f t="shared" si="30"/>
        <v>Low</v>
      </c>
      <c r="U189" t="str">
        <f t="shared" si="31"/>
        <v>Heavy Discount</v>
      </c>
      <c r="V189" t="str">
        <f t="shared" si="32"/>
        <v>Average</v>
      </c>
      <c r="W189">
        <f t="shared" si="33"/>
        <v>99</v>
      </c>
      <c r="X189">
        <f t="shared" si="34"/>
        <v>106</v>
      </c>
      <c r="Y189">
        <f t="shared" si="35"/>
        <v>40</v>
      </c>
      <c r="Z189" t="str">
        <f t="shared" si="36"/>
        <v>Not Eligible</v>
      </c>
      <c r="AA189" t="str">
        <f t="shared" si="37"/>
        <v>Normal Order</v>
      </c>
      <c r="AB189" t="str">
        <f t="shared" si="38"/>
        <v>Online</v>
      </c>
    </row>
    <row r="190" spans="1:28">
      <c r="A190" s="5">
        <v>10189</v>
      </c>
      <c r="B190" s="5">
        <v>1014</v>
      </c>
      <c r="C190" s="6">
        <v>44981</v>
      </c>
      <c r="D190" s="6">
        <v>44981</v>
      </c>
      <c r="E190" s="5" t="s">
        <v>82</v>
      </c>
      <c r="F190" s="5" t="s">
        <v>95</v>
      </c>
      <c r="G190" s="5" t="s">
        <v>83</v>
      </c>
      <c r="H190" s="5" t="s">
        <v>101</v>
      </c>
      <c r="I190" s="5" t="s">
        <v>132</v>
      </c>
      <c r="J190" s="5" t="s">
        <v>137</v>
      </c>
      <c r="K190" s="5" t="s">
        <v>87</v>
      </c>
      <c r="L190" s="5">
        <v>2</v>
      </c>
      <c r="M190" s="5">
        <v>1003.86</v>
      </c>
      <c r="N190" s="5">
        <v>10</v>
      </c>
      <c r="O190" s="5">
        <v>1806.95</v>
      </c>
      <c r="P190">
        <f t="shared" si="26"/>
        <v>2007.72</v>
      </c>
      <c r="Q190">
        <f t="shared" si="27"/>
        <v>200.772</v>
      </c>
      <c r="R190">
        <f t="shared" si="28"/>
        <v>1806.948</v>
      </c>
      <c r="S190" t="str">
        <f t="shared" si="29"/>
        <v>Low</v>
      </c>
      <c r="T190" t="str">
        <f t="shared" si="30"/>
        <v>Low</v>
      </c>
      <c r="U190" t="str">
        <f t="shared" si="31"/>
        <v>Heavy Discount</v>
      </c>
      <c r="V190" t="str">
        <f t="shared" si="32"/>
        <v>Average</v>
      </c>
      <c r="W190">
        <f t="shared" si="33"/>
        <v>99</v>
      </c>
      <c r="X190">
        <f t="shared" si="34"/>
        <v>106</v>
      </c>
      <c r="Y190">
        <f t="shared" si="35"/>
        <v>40</v>
      </c>
      <c r="Z190" t="str">
        <f t="shared" si="36"/>
        <v>Not Eligible</v>
      </c>
      <c r="AA190" t="str">
        <f t="shared" si="37"/>
        <v>Normal Order</v>
      </c>
      <c r="AB190" t="str">
        <f t="shared" si="38"/>
        <v>Online</v>
      </c>
    </row>
    <row r="191" spans="1:28">
      <c r="A191" s="5">
        <v>10190</v>
      </c>
      <c r="B191" s="5">
        <v>1857</v>
      </c>
      <c r="C191" s="6">
        <v>45187</v>
      </c>
      <c r="D191" s="6">
        <v>45187</v>
      </c>
      <c r="E191" s="5" t="s">
        <v>100</v>
      </c>
      <c r="F191" s="5" t="s">
        <v>127</v>
      </c>
      <c r="G191" s="5" t="s">
        <v>96</v>
      </c>
      <c r="H191" s="5" t="s">
        <v>91</v>
      </c>
      <c r="I191" s="5" t="s">
        <v>115</v>
      </c>
      <c r="J191" s="5" t="s">
        <v>119</v>
      </c>
      <c r="K191" s="5" t="s">
        <v>87</v>
      </c>
      <c r="L191" s="5">
        <v>2</v>
      </c>
      <c r="M191" s="5">
        <v>1372.59</v>
      </c>
      <c r="N191" s="5">
        <v>5</v>
      </c>
      <c r="O191" s="5">
        <v>2607.92</v>
      </c>
      <c r="P191">
        <f t="shared" si="26"/>
        <v>2745.18</v>
      </c>
      <c r="Q191">
        <f t="shared" si="27"/>
        <v>137.259</v>
      </c>
      <c r="R191">
        <f t="shared" si="28"/>
        <v>2607.921</v>
      </c>
      <c r="S191" t="str">
        <f t="shared" si="29"/>
        <v>Low</v>
      </c>
      <c r="T191" t="str">
        <f t="shared" si="30"/>
        <v>Low</v>
      </c>
      <c r="U191" t="str">
        <f t="shared" si="31"/>
        <v>Heavy Discount</v>
      </c>
      <c r="V191" t="str">
        <f t="shared" si="32"/>
        <v>Average</v>
      </c>
      <c r="W191">
        <f t="shared" si="33"/>
        <v>99</v>
      </c>
      <c r="X191">
        <f t="shared" si="34"/>
        <v>106</v>
      </c>
      <c r="Y191">
        <f t="shared" si="35"/>
        <v>40</v>
      </c>
      <c r="Z191" t="str">
        <f t="shared" si="36"/>
        <v>Not Eligible</v>
      </c>
      <c r="AA191" t="str">
        <f t="shared" si="37"/>
        <v>Normal Order</v>
      </c>
      <c r="AB191" t="str">
        <f t="shared" si="38"/>
        <v/>
      </c>
    </row>
    <row r="192" spans="1:28">
      <c r="A192" s="5">
        <v>10191</v>
      </c>
      <c r="B192" s="5">
        <v>1553</v>
      </c>
      <c r="C192" s="6">
        <v>45039</v>
      </c>
      <c r="D192" s="6">
        <v>45039</v>
      </c>
      <c r="E192" s="5" t="s">
        <v>106</v>
      </c>
      <c r="F192" s="5" t="s">
        <v>95</v>
      </c>
      <c r="G192" s="5" t="s">
        <v>96</v>
      </c>
      <c r="H192" s="5" t="s">
        <v>101</v>
      </c>
      <c r="I192" s="5" t="s">
        <v>123</v>
      </c>
      <c r="J192" s="5" t="s">
        <v>131</v>
      </c>
      <c r="K192" s="5" t="s">
        <v>87</v>
      </c>
      <c r="L192" s="5">
        <v>7</v>
      </c>
      <c r="M192" s="5">
        <v>1148.65</v>
      </c>
      <c r="N192" s="5">
        <v>15</v>
      </c>
      <c r="O192" s="5">
        <v>6834.47</v>
      </c>
      <c r="P192">
        <f t="shared" si="26"/>
        <v>8040.55</v>
      </c>
      <c r="Q192">
        <f t="shared" si="27"/>
        <v>1206.0825</v>
      </c>
      <c r="R192">
        <f t="shared" si="28"/>
        <v>6834.4675</v>
      </c>
      <c r="S192" t="str">
        <f t="shared" si="29"/>
        <v>High</v>
      </c>
      <c r="T192" t="str">
        <f t="shared" si="30"/>
        <v>High</v>
      </c>
      <c r="U192" t="str">
        <f t="shared" si="31"/>
        <v>Heavy Discount</v>
      </c>
      <c r="V192" t="str">
        <f t="shared" si="32"/>
        <v>Good</v>
      </c>
      <c r="W192">
        <f t="shared" si="33"/>
        <v>99</v>
      </c>
      <c r="X192">
        <f t="shared" si="34"/>
        <v>106</v>
      </c>
      <c r="Y192">
        <f t="shared" si="35"/>
        <v>40</v>
      </c>
      <c r="Z192" t="str">
        <f t="shared" si="36"/>
        <v>Not Eligible</v>
      </c>
      <c r="AA192" t="str">
        <f t="shared" si="37"/>
        <v>Prriority Order</v>
      </c>
      <c r="AB192" t="str">
        <f t="shared" si="38"/>
        <v/>
      </c>
    </row>
    <row r="193" spans="1:28">
      <c r="A193" s="5">
        <v>10192</v>
      </c>
      <c r="B193" s="5">
        <v>1891</v>
      </c>
      <c r="C193" s="6">
        <v>45042</v>
      </c>
      <c r="D193" s="6">
        <v>45042</v>
      </c>
      <c r="E193" s="5" t="s">
        <v>81</v>
      </c>
      <c r="F193" s="5" t="s">
        <v>95</v>
      </c>
      <c r="G193" s="5" t="s">
        <v>96</v>
      </c>
      <c r="H193" s="5" t="s">
        <v>101</v>
      </c>
      <c r="I193" s="5" t="s">
        <v>123</v>
      </c>
      <c r="J193" s="5" t="s">
        <v>135</v>
      </c>
      <c r="K193" s="5" t="s">
        <v>87</v>
      </c>
      <c r="L193" s="5">
        <v>2</v>
      </c>
      <c r="M193" s="5">
        <v>487.23</v>
      </c>
      <c r="N193" s="5">
        <v>15</v>
      </c>
      <c r="O193" s="5">
        <v>828.29</v>
      </c>
      <c r="P193">
        <f t="shared" si="26"/>
        <v>974.46</v>
      </c>
      <c r="Q193">
        <f t="shared" si="27"/>
        <v>146.169</v>
      </c>
      <c r="R193">
        <f t="shared" si="28"/>
        <v>828.291</v>
      </c>
      <c r="S193" t="str">
        <f t="shared" si="29"/>
        <v>Low</v>
      </c>
      <c r="T193" t="str">
        <f t="shared" si="30"/>
        <v>Low</v>
      </c>
      <c r="U193" t="str">
        <f t="shared" si="31"/>
        <v>Heavy Discount</v>
      </c>
      <c r="V193" t="str">
        <f t="shared" si="32"/>
        <v>Average</v>
      </c>
      <c r="W193">
        <f t="shared" si="33"/>
        <v>99</v>
      </c>
      <c r="X193">
        <f t="shared" si="34"/>
        <v>106</v>
      </c>
      <c r="Y193">
        <f t="shared" si="35"/>
        <v>40</v>
      </c>
      <c r="Z193" t="str">
        <f t="shared" si="36"/>
        <v>Not Eligible</v>
      </c>
      <c r="AA193" t="str">
        <f t="shared" si="37"/>
        <v>Normal Order</v>
      </c>
      <c r="AB193" t="str">
        <f t="shared" si="38"/>
        <v/>
      </c>
    </row>
    <row r="194" spans="1:28">
      <c r="A194" s="5">
        <v>10193</v>
      </c>
      <c r="B194" s="5">
        <v>1460</v>
      </c>
      <c r="C194" s="6">
        <v>45284</v>
      </c>
      <c r="D194" s="6">
        <v>45284</v>
      </c>
      <c r="E194" s="5" t="s">
        <v>112</v>
      </c>
      <c r="F194" s="5" t="s">
        <v>104</v>
      </c>
      <c r="G194" s="5" t="s">
        <v>96</v>
      </c>
      <c r="H194" s="5" t="s">
        <v>91</v>
      </c>
      <c r="I194" s="5" t="s">
        <v>115</v>
      </c>
      <c r="J194" s="5" t="s">
        <v>119</v>
      </c>
      <c r="K194" s="5" t="s">
        <v>99</v>
      </c>
      <c r="L194" s="5">
        <v>4</v>
      </c>
      <c r="M194" s="5">
        <v>496.18</v>
      </c>
      <c r="N194" s="5">
        <v>15</v>
      </c>
      <c r="O194" s="5">
        <v>1687.01</v>
      </c>
      <c r="P194">
        <f t="shared" si="26"/>
        <v>1984.72</v>
      </c>
      <c r="Q194">
        <f t="shared" si="27"/>
        <v>297.708</v>
      </c>
      <c r="R194">
        <f t="shared" si="28"/>
        <v>1687.012</v>
      </c>
      <c r="S194" t="str">
        <f t="shared" si="29"/>
        <v>Low</v>
      </c>
      <c r="T194" t="str">
        <f t="shared" si="30"/>
        <v>Low</v>
      </c>
      <c r="U194" t="str">
        <f t="shared" si="31"/>
        <v>Heavy Discount</v>
      </c>
      <c r="V194" t="str">
        <f t="shared" si="32"/>
        <v>Average</v>
      </c>
      <c r="W194">
        <f t="shared" si="33"/>
        <v>99</v>
      </c>
      <c r="X194">
        <f t="shared" si="34"/>
        <v>106</v>
      </c>
      <c r="Y194">
        <f t="shared" si="35"/>
        <v>40</v>
      </c>
      <c r="Z194" t="str">
        <f t="shared" si="36"/>
        <v>Not Eligible</v>
      </c>
      <c r="AA194" t="str">
        <f t="shared" si="37"/>
        <v>Normal Order</v>
      </c>
      <c r="AB194" t="str">
        <f t="shared" si="38"/>
        <v/>
      </c>
    </row>
    <row r="195" spans="1:28">
      <c r="A195" s="5">
        <v>10194</v>
      </c>
      <c r="B195" s="5">
        <v>1690</v>
      </c>
      <c r="C195" s="6">
        <v>45182</v>
      </c>
      <c r="D195" s="6">
        <v>45182</v>
      </c>
      <c r="E195" s="5" t="s">
        <v>100</v>
      </c>
      <c r="F195" s="5" t="s">
        <v>107</v>
      </c>
      <c r="G195" s="5" t="s">
        <v>90</v>
      </c>
      <c r="H195" s="5" t="s">
        <v>91</v>
      </c>
      <c r="I195" s="5" t="s">
        <v>132</v>
      </c>
      <c r="J195" s="5" t="s">
        <v>134</v>
      </c>
      <c r="K195" s="5" t="s">
        <v>111</v>
      </c>
      <c r="L195" s="5">
        <v>2</v>
      </c>
      <c r="M195" s="5">
        <v>894.01</v>
      </c>
      <c r="N195" s="5">
        <v>15</v>
      </c>
      <c r="O195" s="5">
        <v>1519.82</v>
      </c>
      <c r="P195">
        <f t="shared" ref="P195:P258" si="39">L195*M195</f>
        <v>1788.02</v>
      </c>
      <c r="Q195">
        <f t="shared" ref="Q195:Q258" si="40">P195*(N195/100)</f>
        <v>268.203</v>
      </c>
      <c r="R195">
        <f t="shared" ref="R195:R258" si="41">P195-Q195</f>
        <v>1519.817</v>
      </c>
      <c r="S195" t="str">
        <f t="shared" ref="S195:S258" si="42">IF(L195&gt;=5,"High","Low")</f>
        <v>Low</v>
      </c>
      <c r="T195" t="str">
        <f t="shared" ref="T195:T258" si="43">IF(L195&gt;5,"High",IF(L195=5,"Medium","Low"))</f>
        <v>Low</v>
      </c>
      <c r="U195" t="str">
        <f t="shared" ref="U195:U258" si="44">IF(N195&gt;10%,"Heavy Discount","Normal Discount")</f>
        <v>Heavy Discount</v>
      </c>
      <c r="V195" t="str">
        <f t="shared" ref="V195:V258" si="45">IF(O195&gt;=7000,"Excellent Sales",IF(O195&gt;=4000,"Good","Average"))</f>
        <v>Average</v>
      </c>
      <c r="W195">
        <f t="shared" ref="W195:W258" si="46">COUNTIF($I$2:$I$501,"Beauty")</f>
        <v>99</v>
      </c>
      <c r="X195">
        <f t="shared" ref="X195:X258" si="47">COUNTIF($N$2:$N$501,"&gt;15")</f>
        <v>106</v>
      </c>
      <c r="Y195">
        <f t="shared" ref="Y195:Y258" si="48">COUNTIFS(I195:I694,"Electronics",G195:G694,"&lt;&gt;Marketplace")</f>
        <v>40</v>
      </c>
      <c r="Z195" t="str">
        <f t="shared" ref="Z195:Z258" si="49">IF(AND(O195:O694,N195&lt;10%),"Eligible","Not Eligible")</f>
        <v>Not Eligible</v>
      </c>
      <c r="AA195" t="str">
        <f t="shared" ref="AA195:AA258" si="50">IF(OR(O195&gt;7000,L195&gt;5),"Prriority Order","Normal Order")</f>
        <v>Normal Order</v>
      </c>
      <c r="AB195" t="str">
        <f t="shared" ref="AB195:AB258" si="51">IF(G195&lt;&gt;"Marketplace","Online","")</f>
        <v>Online</v>
      </c>
    </row>
    <row r="196" spans="1:28">
      <c r="A196" s="5">
        <v>10195</v>
      </c>
      <c r="B196" s="5">
        <v>1574</v>
      </c>
      <c r="C196" s="6">
        <v>45045</v>
      </c>
      <c r="D196" s="6">
        <v>45045</v>
      </c>
      <c r="E196" s="5" t="s">
        <v>100</v>
      </c>
      <c r="F196" s="5" t="s">
        <v>89</v>
      </c>
      <c r="G196" s="5" t="s">
        <v>83</v>
      </c>
      <c r="H196" s="5" t="s">
        <v>101</v>
      </c>
      <c r="I196" s="5" t="s">
        <v>97</v>
      </c>
      <c r="J196" s="5" t="s">
        <v>140</v>
      </c>
      <c r="K196" s="5" t="s">
        <v>113</v>
      </c>
      <c r="L196" s="5">
        <v>6</v>
      </c>
      <c r="M196" s="5">
        <v>344.65</v>
      </c>
      <c r="N196" s="5">
        <v>10</v>
      </c>
      <c r="O196" s="5">
        <v>1861.11</v>
      </c>
      <c r="P196">
        <f t="shared" si="39"/>
        <v>2067.9</v>
      </c>
      <c r="Q196">
        <f t="shared" si="40"/>
        <v>206.79</v>
      </c>
      <c r="R196">
        <f t="shared" si="41"/>
        <v>1861.11</v>
      </c>
      <c r="S196" t="str">
        <f t="shared" si="42"/>
        <v>High</v>
      </c>
      <c r="T196" t="str">
        <f t="shared" si="43"/>
        <v>High</v>
      </c>
      <c r="U196" t="str">
        <f t="shared" si="44"/>
        <v>Heavy Discount</v>
      </c>
      <c r="V196" t="str">
        <f t="shared" si="45"/>
        <v>Average</v>
      </c>
      <c r="W196">
        <f t="shared" si="46"/>
        <v>99</v>
      </c>
      <c r="X196">
        <f t="shared" si="47"/>
        <v>106</v>
      </c>
      <c r="Y196">
        <f t="shared" si="48"/>
        <v>40</v>
      </c>
      <c r="Z196" t="str">
        <f t="shared" si="49"/>
        <v>Not Eligible</v>
      </c>
      <c r="AA196" t="str">
        <f t="shared" si="50"/>
        <v>Prriority Order</v>
      </c>
      <c r="AB196" t="str">
        <f t="shared" si="51"/>
        <v>Online</v>
      </c>
    </row>
    <row r="197" spans="1:28">
      <c r="A197" s="5">
        <v>10196</v>
      </c>
      <c r="B197" s="5">
        <v>1863</v>
      </c>
      <c r="C197" s="6">
        <v>45133</v>
      </c>
      <c r="D197" s="6">
        <v>45133</v>
      </c>
      <c r="E197" s="5" t="s">
        <v>103</v>
      </c>
      <c r="F197" s="5" t="s">
        <v>95</v>
      </c>
      <c r="G197" s="5" t="s">
        <v>96</v>
      </c>
      <c r="H197" s="5" t="s">
        <v>110</v>
      </c>
      <c r="I197" s="5" t="s">
        <v>123</v>
      </c>
      <c r="J197" s="5" t="s">
        <v>124</v>
      </c>
      <c r="K197" s="5" t="s">
        <v>87</v>
      </c>
      <c r="L197" s="5">
        <v>8</v>
      </c>
      <c r="M197" s="5">
        <v>2561.86</v>
      </c>
      <c r="N197" s="5">
        <v>0</v>
      </c>
      <c r="O197" s="5">
        <v>20494.88</v>
      </c>
      <c r="P197">
        <f t="shared" si="39"/>
        <v>20494.88</v>
      </c>
      <c r="Q197">
        <f t="shared" si="40"/>
        <v>0</v>
      </c>
      <c r="R197">
        <f t="shared" si="41"/>
        <v>20494.88</v>
      </c>
      <c r="S197" t="str">
        <f t="shared" si="42"/>
        <v>High</v>
      </c>
      <c r="T197" t="str">
        <f t="shared" si="43"/>
        <v>High</v>
      </c>
      <c r="U197" t="str">
        <f t="shared" si="44"/>
        <v>Normal Discount</v>
      </c>
      <c r="V197" t="str">
        <f t="shared" si="45"/>
        <v>Excellent Sales</v>
      </c>
      <c r="W197">
        <f t="shared" si="46"/>
        <v>99</v>
      </c>
      <c r="X197">
        <f t="shared" si="47"/>
        <v>106</v>
      </c>
      <c r="Y197">
        <f t="shared" si="48"/>
        <v>40</v>
      </c>
      <c r="Z197" t="str">
        <f t="shared" si="49"/>
        <v>Eligible</v>
      </c>
      <c r="AA197" t="str">
        <f t="shared" si="50"/>
        <v>Prriority Order</v>
      </c>
      <c r="AB197" t="str">
        <f t="shared" si="51"/>
        <v/>
      </c>
    </row>
    <row r="198" spans="1:28">
      <c r="A198" s="5">
        <v>10197</v>
      </c>
      <c r="B198" s="5">
        <v>1742</v>
      </c>
      <c r="C198" s="6">
        <v>45266</v>
      </c>
      <c r="D198" s="6">
        <v>45266</v>
      </c>
      <c r="E198" s="5" t="s">
        <v>82</v>
      </c>
      <c r="F198" s="5" t="s">
        <v>104</v>
      </c>
      <c r="G198" s="5" t="s">
        <v>83</v>
      </c>
      <c r="H198" s="5" t="s">
        <v>101</v>
      </c>
      <c r="I198" s="5" t="s">
        <v>115</v>
      </c>
      <c r="J198" s="5" t="s">
        <v>143</v>
      </c>
      <c r="K198" s="5" t="s">
        <v>111</v>
      </c>
      <c r="L198" s="5">
        <v>4</v>
      </c>
      <c r="M198" s="5">
        <v>1256.21</v>
      </c>
      <c r="N198" s="5">
        <v>10</v>
      </c>
      <c r="O198" s="5">
        <v>4522.36</v>
      </c>
      <c r="P198">
        <f t="shared" si="39"/>
        <v>5024.84</v>
      </c>
      <c r="Q198">
        <f t="shared" si="40"/>
        <v>502.484</v>
      </c>
      <c r="R198">
        <f t="shared" si="41"/>
        <v>4522.356</v>
      </c>
      <c r="S198" t="str">
        <f t="shared" si="42"/>
        <v>Low</v>
      </c>
      <c r="T198" t="str">
        <f t="shared" si="43"/>
        <v>Low</v>
      </c>
      <c r="U198" t="str">
        <f t="shared" si="44"/>
        <v>Heavy Discount</v>
      </c>
      <c r="V198" t="str">
        <f t="shared" si="45"/>
        <v>Good</v>
      </c>
      <c r="W198">
        <f t="shared" si="46"/>
        <v>99</v>
      </c>
      <c r="X198">
        <f t="shared" si="47"/>
        <v>106</v>
      </c>
      <c r="Y198">
        <f t="shared" si="48"/>
        <v>40</v>
      </c>
      <c r="Z198" t="str">
        <f t="shared" si="49"/>
        <v>Not Eligible</v>
      </c>
      <c r="AA198" t="str">
        <f t="shared" si="50"/>
        <v>Normal Order</v>
      </c>
      <c r="AB198" t="str">
        <f t="shared" si="51"/>
        <v>Online</v>
      </c>
    </row>
    <row r="199" spans="1:28">
      <c r="A199" s="5">
        <v>10198</v>
      </c>
      <c r="B199" s="5">
        <v>1240</v>
      </c>
      <c r="C199" s="6">
        <v>45292</v>
      </c>
      <c r="D199" s="6">
        <v>45292</v>
      </c>
      <c r="E199" s="5" t="s">
        <v>100</v>
      </c>
      <c r="F199" s="5" t="s">
        <v>107</v>
      </c>
      <c r="G199" s="5" t="s">
        <v>83</v>
      </c>
      <c r="H199" s="5" t="s">
        <v>108</v>
      </c>
      <c r="I199" s="5" t="s">
        <v>85</v>
      </c>
      <c r="J199" s="5" t="s">
        <v>141</v>
      </c>
      <c r="K199" s="5" t="s">
        <v>111</v>
      </c>
      <c r="L199" s="5">
        <v>5</v>
      </c>
      <c r="M199" s="5">
        <v>1227.02</v>
      </c>
      <c r="N199" s="5">
        <v>15</v>
      </c>
      <c r="O199" s="5">
        <v>5214.84</v>
      </c>
      <c r="P199">
        <f t="shared" si="39"/>
        <v>6135.1</v>
      </c>
      <c r="Q199">
        <f t="shared" si="40"/>
        <v>920.265</v>
      </c>
      <c r="R199">
        <f t="shared" si="41"/>
        <v>5214.835</v>
      </c>
      <c r="S199" t="str">
        <f t="shared" si="42"/>
        <v>High</v>
      </c>
      <c r="T199" t="str">
        <f t="shared" si="43"/>
        <v>Medium</v>
      </c>
      <c r="U199" t="str">
        <f t="shared" si="44"/>
        <v>Heavy Discount</v>
      </c>
      <c r="V199" t="str">
        <f t="shared" si="45"/>
        <v>Good</v>
      </c>
      <c r="W199">
        <f t="shared" si="46"/>
        <v>99</v>
      </c>
      <c r="X199">
        <f t="shared" si="47"/>
        <v>106</v>
      </c>
      <c r="Y199">
        <f t="shared" si="48"/>
        <v>39</v>
      </c>
      <c r="Z199" t="str">
        <f t="shared" si="49"/>
        <v>Not Eligible</v>
      </c>
      <c r="AA199" t="str">
        <f t="shared" si="50"/>
        <v>Normal Order</v>
      </c>
      <c r="AB199" t="str">
        <f t="shared" si="51"/>
        <v>Online</v>
      </c>
    </row>
    <row r="200" spans="1:28">
      <c r="A200" s="5">
        <v>10199</v>
      </c>
      <c r="B200" s="5">
        <v>1563</v>
      </c>
      <c r="C200" s="6">
        <v>44984</v>
      </c>
      <c r="D200" s="6">
        <v>44984</v>
      </c>
      <c r="E200" s="5" t="s">
        <v>100</v>
      </c>
      <c r="F200" s="5" t="s">
        <v>89</v>
      </c>
      <c r="G200" s="5" t="s">
        <v>90</v>
      </c>
      <c r="H200" s="5" t="s">
        <v>101</v>
      </c>
      <c r="I200" s="5" t="s">
        <v>115</v>
      </c>
      <c r="J200" s="5" t="s">
        <v>119</v>
      </c>
      <c r="K200" s="5" t="s">
        <v>113</v>
      </c>
      <c r="L200" s="5">
        <v>4</v>
      </c>
      <c r="M200" s="5">
        <v>1428.19</v>
      </c>
      <c r="N200" s="5">
        <v>10</v>
      </c>
      <c r="O200" s="5">
        <v>5141.48</v>
      </c>
      <c r="P200">
        <f t="shared" si="39"/>
        <v>5712.76</v>
      </c>
      <c r="Q200">
        <f t="shared" si="40"/>
        <v>571.276</v>
      </c>
      <c r="R200">
        <f t="shared" si="41"/>
        <v>5141.484</v>
      </c>
      <c r="S200" t="str">
        <f t="shared" si="42"/>
        <v>Low</v>
      </c>
      <c r="T200" t="str">
        <f t="shared" si="43"/>
        <v>Low</v>
      </c>
      <c r="U200" t="str">
        <f t="shared" si="44"/>
        <v>Heavy Discount</v>
      </c>
      <c r="V200" t="str">
        <f t="shared" si="45"/>
        <v>Good</v>
      </c>
      <c r="W200">
        <f t="shared" si="46"/>
        <v>99</v>
      </c>
      <c r="X200">
        <f t="shared" si="47"/>
        <v>106</v>
      </c>
      <c r="Y200">
        <f t="shared" si="48"/>
        <v>39</v>
      </c>
      <c r="Z200" t="str">
        <f t="shared" si="49"/>
        <v>Not Eligible</v>
      </c>
      <c r="AA200" t="str">
        <f t="shared" si="50"/>
        <v>Normal Order</v>
      </c>
      <c r="AB200" t="str">
        <f t="shared" si="51"/>
        <v>Online</v>
      </c>
    </row>
    <row r="201" spans="1:28">
      <c r="A201" s="5">
        <v>10200</v>
      </c>
      <c r="B201" s="5">
        <v>1095</v>
      </c>
      <c r="C201" s="6">
        <v>45176</v>
      </c>
      <c r="D201" s="6">
        <v>45176</v>
      </c>
      <c r="E201" s="5" t="s">
        <v>81</v>
      </c>
      <c r="F201" s="5" t="s">
        <v>95</v>
      </c>
      <c r="G201" s="5" t="s">
        <v>96</v>
      </c>
      <c r="H201" s="5" t="s">
        <v>110</v>
      </c>
      <c r="I201" s="5" t="s">
        <v>85</v>
      </c>
      <c r="J201" s="5" t="s">
        <v>141</v>
      </c>
      <c r="K201" s="5" t="s">
        <v>99</v>
      </c>
      <c r="L201" s="5">
        <v>3</v>
      </c>
      <c r="M201" s="5">
        <v>2701.77</v>
      </c>
      <c r="N201" s="5">
        <v>15</v>
      </c>
      <c r="O201" s="5">
        <v>6889.51</v>
      </c>
      <c r="P201">
        <f t="shared" si="39"/>
        <v>8105.31</v>
      </c>
      <c r="Q201">
        <f t="shared" si="40"/>
        <v>1215.7965</v>
      </c>
      <c r="R201">
        <f t="shared" si="41"/>
        <v>6889.5135</v>
      </c>
      <c r="S201" t="str">
        <f t="shared" si="42"/>
        <v>Low</v>
      </c>
      <c r="T201" t="str">
        <f t="shared" si="43"/>
        <v>Low</v>
      </c>
      <c r="U201" t="str">
        <f t="shared" si="44"/>
        <v>Heavy Discount</v>
      </c>
      <c r="V201" t="str">
        <f t="shared" si="45"/>
        <v>Good</v>
      </c>
      <c r="W201">
        <f t="shared" si="46"/>
        <v>99</v>
      </c>
      <c r="X201">
        <f t="shared" si="47"/>
        <v>106</v>
      </c>
      <c r="Y201">
        <f t="shared" si="48"/>
        <v>38</v>
      </c>
      <c r="Z201" t="str">
        <f t="shared" si="49"/>
        <v>Not Eligible</v>
      </c>
      <c r="AA201" t="str">
        <f t="shared" si="50"/>
        <v>Normal Order</v>
      </c>
      <c r="AB201" t="str">
        <f t="shared" si="51"/>
        <v/>
      </c>
    </row>
    <row r="202" spans="1:28">
      <c r="A202" s="5">
        <v>10201</v>
      </c>
      <c r="B202" s="5">
        <v>1899</v>
      </c>
      <c r="C202" s="6">
        <v>44966</v>
      </c>
      <c r="D202" s="6">
        <v>44966</v>
      </c>
      <c r="E202" s="5" t="s">
        <v>81</v>
      </c>
      <c r="F202" s="5" t="s">
        <v>95</v>
      </c>
      <c r="G202" s="5" t="s">
        <v>96</v>
      </c>
      <c r="H202" s="5" t="s">
        <v>108</v>
      </c>
      <c r="I202" s="5" t="s">
        <v>132</v>
      </c>
      <c r="J202" s="5" t="s">
        <v>134</v>
      </c>
      <c r="K202" s="5" t="s">
        <v>94</v>
      </c>
      <c r="L202" s="5">
        <v>5</v>
      </c>
      <c r="M202" s="5">
        <v>3501.94</v>
      </c>
      <c r="N202" s="5">
        <v>20</v>
      </c>
      <c r="O202" s="5">
        <v>14007.76</v>
      </c>
      <c r="P202">
        <f t="shared" si="39"/>
        <v>17509.7</v>
      </c>
      <c r="Q202">
        <f t="shared" si="40"/>
        <v>3501.94</v>
      </c>
      <c r="R202">
        <f t="shared" si="41"/>
        <v>14007.76</v>
      </c>
      <c r="S202" t="str">
        <f t="shared" si="42"/>
        <v>High</v>
      </c>
      <c r="T202" t="str">
        <f t="shared" si="43"/>
        <v>Medium</v>
      </c>
      <c r="U202" t="str">
        <f t="shared" si="44"/>
        <v>Heavy Discount</v>
      </c>
      <c r="V202" t="str">
        <f t="shared" si="45"/>
        <v>Excellent Sales</v>
      </c>
      <c r="W202">
        <f t="shared" si="46"/>
        <v>99</v>
      </c>
      <c r="X202">
        <f t="shared" si="47"/>
        <v>106</v>
      </c>
      <c r="Y202">
        <f t="shared" si="48"/>
        <v>38</v>
      </c>
      <c r="Z202" t="str">
        <f t="shared" si="49"/>
        <v>Not Eligible</v>
      </c>
      <c r="AA202" t="str">
        <f t="shared" si="50"/>
        <v>Prriority Order</v>
      </c>
      <c r="AB202" t="str">
        <f t="shared" si="51"/>
        <v/>
      </c>
    </row>
    <row r="203" spans="1:28">
      <c r="A203" s="5">
        <v>10202</v>
      </c>
      <c r="B203" s="5">
        <v>1733</v>
      </c>
      <c r="C203" s="6">
        <v>45229</v>
      </c>
      <c r="D203" s="6">
        <v>45229</v>
      </c>
      <c r="E203" s="5" t="s">
        <v>106</v>
      </c>
      <c r="F203" s="5" t="s">
        <v>127</v>
      </c>
      <c r="G203" s="5" t="s">
        <v>83</v>
      </c>
      <c r="H203" s="5" t="s">
        <v>84</v>
      </c>
      <c r="I203" s="5" t="s">
        <v>97</v>
      </c>
      <c r="J203" s="5" t="s">
        <v>140</v>
      </c>
      <c r="K203" s="5" t="s">
        <v>94</v>
      </c>
      <c r="L203" s="5">
        <v>9</v>
      </c>
      <c r="M203" s="5">
        <v>3072.48</v>
      </c>
      <c r="N203" s="5">
        <v>0</v>
      </c>
      <c r="O203" s="5">
        <v>27652.32</v>
      </c>
      <c r="P203">
        <f t="shared" si="39"/>
        <v>27652.32</v>
      </c>
      <c r="Q203">
        <f t="shared" si="40"/>
        <v>0</v>
      </c>
      <c r="R203">
        <f t="shared" si="41"/>
        <v>27652.32</v>
      </c>
      <c r="S203" t="str">
        <f t="shared" si="42"/>
        <v>High</v>
      </c>
      <c r="T203" t="str">
        <f t="shared" si="43"/>
        <v>High</v>
      </c>
      <c r="U203" t="str">
        <f t="shared" si="44"/>
        <v>Normal Discount</v>
      </c>
      <c r="V203" t="str">
        <f t="shared" si="45"/>
        <v>Excellent Sales</v>
      </c>
      <c r="W203">
        <f t="shared" si="46"/>
        <v>99</v>
      </c>
      <c r="X203">
        <f t="shared" si="47"/>
        <v>106</v>
      </c>
      <c r="Y203">
        <f t="shared" si="48"/>
        <v>38</v>
      </c>
      <c r="Z203" t="str">
        <f t="shared" si="49"/>
        <v>Eligible</v>
      </c>
      <c r="AA203" t="str">
        <f t="shared" si="50"/>
        <v>Prriority Order</v>
      </c>
      <c r="AB203" t="str">
        <f t="shared" si="51"/>
        <v>Online</v>
      </c>
    </row>
    <row r="204" spans="1:28">
      <c r="A204" s="5">
        <v>10203</v>
      </c>
      <c r="B204" s="5">
        <v>1484</v>
      </c>
      <c r="C204" s="6">
        <v>45004</v>
      </c>
      <c r="D204" s="6">
        <v>45004</v>
      </c>
      <c r="E204" s="5" t="s">
        <v>88</v>
      </c>
      <c r="F204" s="5" t="s">
        <v>127</v>
      </c>
      <c r="G204" s="5" t="s">
        <v>96</v>
      </c>
      <c r="H204" s="5" t="s">
        <v>84</v>
      </c>
      <c r="I204" s="5" t="s">
        <v>115</v>
      </c>
      <c r="J204" s="5" t="s">
        <v>143</v>
      </c>
      <c r="K204" s="5" t="s">
        <v>111</v>
      </c>
      <c r="L204" s="5">
        <v>8</v>
      </c>
      <c r="M204" s="5">
        <v>2950.99</v>
      </c>
      <c r="N204" s="5">
        <v>20</v>
      </c>
      <c r="O204" s="5">
        <v>18886.34</v>
      </c>
      <c r="P204">
        <f t="shared" si="39"/>
        <v>23607.92</v>
      </c>
      <c r="Q204">
        <f t="shared" si="40"/>
        <v>4721.584</v>
      </c>
      <c r="R204">
        <f t="shared" si="41"/>
        <v>18886.336</v>
      </c>
      <c r="S204" t="str">
        <f t="shared" si="42"/>
        <v>High</v>
      </c>
      <c r="T204" t="str">
        <f t="shared" si="43"/>
        <v>High</v>
      </c>
      <c r="U204" t="str">
        <f t="shared" si="44"/>
        <v>Heavy Discount</v>
      </c>
      <c r="V204" t="str">
        <f t="shared" si="45"/>
        <v>Excellent Sales</v>
      </c>
      <c r="W204">
        <f t="shared" si="46"/>
        <v>99</v>
      </c>
      <c r="X204">
        <f t="shared" si="47"/>
        <v>106</v>
      </c>
      <c r="Y204">
        <f t="shared" si="48"/>
        <v>38</v>
      </c>
      <c r="Z204" t="str">
        <f t="shared" si="49"/>
        <v>Not Eligible</v>
      </c>
      <c r="AA204" t="str">
        <f t="shared" si="50"/>
        <v>Prriority Order</v>
      </c>
      <c r="AB204" t="str">
        <f t="shared" si="51"/>
        <v/>
      </c>
    </row>
    <row r="205" spans="1:28">
      <c r="A205" s="5">
        <v>10204</v>
      </c>
      <c r="B205" s="5">
        <v>1406</v>
      </c>
      <c r="C205" s="6">
        <v>45282</v>
      </c>
      <c r="D205" s="6">
        <v>45282</v>
      </c>
      <c r="E205" s="5" t="s">
        <v>88</v>
      </c>
      <c r="F205" s="5" t="s">
        <v>107</v>
      </c>
      <c r="G205" s="5" t="s">
        <v>83</v>
      </c>
      <c r="H205" s="5" t="s">
        <v>110</v>
      </c>
      <c r="I205" s="5" t="s">
        <v>92</v>
      </c>
      <c r="J205" s="5" t="s">
        <v>93</v>
      </c>
      <c r="K205" s="5" t="s">
        <v>113</v>
      </c>
      <c r="L205" s="5">
        <v>8</v>
      </c>
      <c r="M205" s="5">
        <v>2014.91</v>
      </c>
      <c r="N205" s="5">
        <v>5</v>
      </c>
      <c r="O205" s="5">
        <v>15313.32</v>
      </c>
      <c r="P205">
        <f t="shared" si="39"/>
        <v>16119.28</v>
      </c>
      <c r="Q205">
        <f t="shared" si="40"/>
        <v>805.964</v>
      </c>
      <c r="R205">
        <f t="shared" si="41"/>
        <v>15313.316</v>
      </c>
      <c r="S205" t="str">
        <f t="shared" si="42"/>
        <v>High</v>
      </c>
      <c r="T205" t="str">
        <f t="shared" si="43"/>
        <v>High</v>
      </c>
      <c r="U205" t="str">
        <f t="shared" si="44"/>
        <v>Heavy Discount</v>
      </c>
      <c r="V205" t="str">
        <f t="shared" si="45"/>
        <v>Excellent Sales</v>
      </c>
      <c r="W205">
        <f t="shared" si="46"/>
        <v>99</v>
      </c>
      <c r="X205">
        <f t="shared" si="47"/>
        <v>106</v>
      </c>
      <c r="Y205">
        <f t="shared" si="48"/>
        <v>38</v>
      </c>
      <c r="Z205" t="str">
        <f t="shared" si="49"/>
        <v>Not Eligible</v>
      </c>
      <c r="AA205" t="str">
        <f t="shared" si="50"/>
        <v>Prriority Order</v>
      </c>
      <c r="AB205" t="str">
        <f t="shared" si="51"/>
        <v>Online</v>
      </c>
    </row>
    <row r="206" spans="1:28">
      <c r="A206" s="5">
        <v>10205</v>
      </c>
      <c r="B206" s="5">
        <v>1230</v>
      </c>
      <c r="C206" s="6">
        <v>45254</v>
      </c>
      <c r="D206" s="6">
        <v>45254</v>
      </c>
      <c r="E206" s="5" t="s">
        <v>112</v>
      </c>
      <c r="F206" s="5" t="s">
        <v>89</v>
      </c>
      <c r="G206" s="5" t="s">
        <v>83</v>
      </c>
      <c r="H206" s="5" t="s">
        <v>101</v>
      </c>
      <c r="I206" s="5" t="s">
        <v>123</v>
      </c>
      <c r="J206" s="5" t="s">
        <v>135</v>
      </c>
      <c r="K206" s="5" t="s">
        <v>94</v>
      </c>
      <c r="L206" s="5">
        <v>8</v>
      </c>
      <c r="M206" s="5">
        <v>2821.15</v>
      </c>
      <c r="N206" s="5">
        <v>10</v>
      </c>
      <c r="O206" s="5">
        <v>20312.28</v>
      </c>
      <c r="P206">
        <f t="shared" si="39"/>
        <v>22569.2</v>
      </c>
      <c r="Q206">
        <f t="shared" si="40"/>
        <v>2256.92</v>
      </c>
      <c r="R206">
        <f t="shared" si="41"/>
        <v>20312.28</v>
      </c>
      <c r="S206" t="str">
        <f t="shared" si="42"/>
        <v>High</v>
      </c>
      <c r="T206" t="str">
        <f t="shared" si="43"/>
        <v>High</v>
      </c>
      <c r="U206" t="str">
        <f t="shared" si="44"/>
        <v>Heavy Discount</v>
      </c>
      <c r="V206" t="str">
        <f t="shared" si="45"/>
        <v>Excellent Sales</v>
      </c>
      <c r="W206">
        <f t="shared" si="46"/>
        <v>99</v>
      </c>
      <c r="X206">
        <f t="shared" si="47"/>
        <v>106</v>
      </c>
      <c r="Y206">
        <f t="shared" si="48"/>
        <v>38</v>
      </c>
      <c r="Z206" t="str">
        <f t="shared" si="49"/>
        <v>Not Eligible</v>
      </c>
      <c r="AA206" t="str">
        <f t="shared" si="50"/>
        <v>Prriority Order</v>
      </c>
      <c r="AB206" t="str">
        <f t="shared" si="51"/>
        <v>Online</v>
      </c>
    </row>
    <row r="207" spans="1:28">
      <c r="A207" s="5">
        <v>10206</v>
      </c>
      <c r="B207" s="5">
        <v>1748</v>
      </c>
      <c r="C207" s="6">
        <v>44984</v>
      </c>
      <c r="D207" s="6">
        <v>44984</v>
      </c>
      <c r="E207" s="5" t="s">
        <v>88</v>
      </c>
      <c r="F207" s="5" t="s">
        <v>95</v>
      </c>
      <c r="G207" s="5" t="s">
        <v>90</v>
      </c>
      <c r="H207" s="5" t="s">
        <v>91</v>
      </c>
      <c r="I207" s="5" t="s">
        <v>132</v>
      </c>
      <c r="J207" s="5" t="s">
        <v>134</v>
      </c>
      <c r="K207" s="5" t="s">
        <v>111</v>
      </c>
      <c r="L207" s="5">
        <v>8</v>
      </c>
      <c r="M207" s="5">
        <v>2278.14</v>
      </c>
      <c r="N207" s="5">
        <v>5</v>
      </c>
      <c r="O207" s="5">
        <v>17313.86</v>
      </c>
      <c r="P207">
        <f t="shared" si="39"/>
        <v>18225.12</v>
      </c>
      <c r="Q207">
        <f t="shared" si="40"/>
        <v>911.256</v>
      </c>
      <c r="R207">
        <f t="shared" si="41"/>
        <v>17313.864</v>
      </c>
      <c r="S207" t="str">
        <f t="shared" si="42"/>
        <v>High</v>
      </c>
      <c r="T207" t="str">
        <f t="shared" si="43"/>
        <v>High</v>
      </c>
      <c r="U207" t="str">
        <f t="shared" si="44"/>
        <v>Heavy Discount</v>
      </c>
      <c r="V207" t="str">
        <f t="shared" si="45"/>
        <v>Excellent Sales</v>
      </c>
      <c r="W207">
        <f t="shared" si="46"/>
        <v>99</v>
      </c>
      <c r="X207">
        <f t="shared" si="47"/>
        <v>106</v>
      </c>
      <c r="Y207">
        <f t="shared" si="48"/>
        <v>38</v>
      </c>
      <c r="Z207" t="str">
        <f t="shared" si="49"/>
        <v>Not Eligible</v>
      </c>
      <c r="AA207" t="str">
        <f t="shared" si="50"/>
        <v>Prriority Order</v>
      </c>
      <c r="AB207" t="str">
        <f t="shared" si="51"/>
        <v>Online</v>
      </c>
    </row>
    <row r="208" spans="1:28">
      <c r="A208" s="5">
        <v>10207</v>
      </c>
      <c r="B208" s="5">
        <v>1654</v>
      </c>
      <c r="C208" s="6">
        <v>45006</v>
      </c>
      <c r="D208" s="6">
        <v>45006</v>
      </c>
      <c r="E208" s="5" t="s">
        <v>103</v>
      </c>
      <c r="F208" s="5" t="s">
        <v>107</v>
      </c>
      <c r="G208" s="5" t="s">
        <v>90</v>
      </c>
      <c r="H208" s="5" t="s">
        <v>110</v>
      </c>
      <c r="I208" s="5" t="s">
        <v>115</v>
      </c>
      <c r="J208" s="5" t="s">
        <v>119</v>
      </c>
      <c r="K208" s="5" t="s">
        <v>99</v>
      </c>
      <c r="L208" s="5">
        <v>7</v>
      </c>
      <c r="M208" s="5">
        <v>982.56</v>
      </c>
      <c r="N208" s="5">
        <v>10</v>
      </c>
      <c r="O208" s="5">
        <v>6190.13</v>
      </c>
      <c r="P208">
        <f t="shared" si="39"/>
        <v>6877.92</v>
      </c>
      <c r="Q208">
        <f t="shared" si="40"/>
        <v>687.792</v>
      </c>
      <c r="R208">
        <f t="shared" si="41"/>
        <v>6190.128</v>
      </c>
      <c r="S208" t="str">
        <f t="shared" si="42"/>
        <v>High</v>
      </c>
      <c r="T208" t="str">
        <f t="shared" si="43"/>
        <v>High</v>
      </c>
      <c r="U208" t="str">
        <f t="shared" si="44"/>
        <v>Heavy Discount</v>
      </c>
      <c r="V208" t="str">
        <f t="shared" si="45"/>
        <v>Good</v>
      </c>
      <c r="W208">
        <f t="shared" si="46"/>
        <v>99</v>
      </c>
      <c r="X208">
        <f t="shared" si="47"/>
        <v>106</v>
      </c>
      <c r="Y208">
        <f t="shared" si="48"/>
        <v>38</v>
      </c>
      <c r="Z208" t="str">
        <f t="shared" si="49"/>
        <v>Not Eligible</v>
      </c>
      <c r="AA208" t="str">
        <f t="shared" si="50"/>
        <v>Prriority Order</v>
      </c>
      <c r="AB208" t="str">
        <f t="shared" si="51"/>
        <v>Online</v>
      </c>
    </row>
    <row r="209" spans="1:28">
      <c r="A209" s="5">
        <v>10208</v>
      </c>
      <c r="B209" s="5">
        <v>1170</v>
      </c>
      <c r="C209" s="6">
        <v>45123</v>
      </c>
      <c r="D209" s="6">
        <v>45123</v>
      </c>
      <c r="E209" s="5" t="s">
        <v>112</v>
      </c>
      <c r="F209" s="5" t="s">
        <v>107</v>
      </c>
      <c r="G209" s="5" t="s">
        <v>90</v>
      </c>
      <c r="H209" s="5" t="s">
        <v>108</v>
      </c>
      <c r="I209" s="5" t="s">
        <v>123</v>
      </c>
      <c r="J209" s="5" t="s">
        <v>124</v>
      </c>
      <c r="K209" s="5" t="s">
        <v>94</v>
      </c>
      <c r="L209" s="5">
        <v>8</v>
      </c>
      <c r="M209" s="5">
        <v>953.07</v>
      </c>
      <c r="N209" s="5">
        <v>20</v>
      </c>
      <c r="O209" s="5">
        <v>6099.65</v>
      </c>
      <c r="P209">
        <f t="shared" si="39"/>
        <v>7624.56</v>
      </c>
      <c r="Q209">
        <f t="shared" si="40"/>
        <v>1524.912</v>
      </c>
      <c r="R209">
        <f t="shared" si="41"/>
        <v>6099.648</v>
      </c>
      <c r="S209" t="str">
        <f t="shared" si="42"/>
        <v>High</v>
      </c>
      <c r="T209" t="str">
        <f t="shared" si="43"/>
        <v>High</v>
      </c>
      <c r="U209" t="str">
        <f t="shared" si="44"/>
        <v>Heavy Discount</v>
      </c>
      <c r="V209" t="str">
        <f t="shared" si="45"/>
        <v>Good</v>
      </c>
      <c r="W209">
        <f t="shared" si="46"/>
        <v>99</v>
      </c>
      <c r="X209">
        <f t="shared" si="47"/>
        <v>106</v>
      </c>
      <c r="Y209">
        <f t="shared" si="48"/>
        <v>37</v>
      </c>
      <c r="Z209" t="str">
        <f t="shared" si="49"/>
        <v>Not Eligible</v>
      </c>
      <c r="AA209" t="str">
        <f t="shared" si="50"/>
        <v>Prriority Order</v>
      </c>
      <c r="AB209" t="str">
        <f t="shared" si="51"/>
        <v>Online</v>
      </c>
    </row>
    <row r="210" spans="1:28">
      <c r="A210" s="5">
        <v>10209</v>
      </c>
      <c r="B210" s="5">
        <v>1540</v>
      </c>
      <c r="C210" s="6">
        <v>45193</v>
      </c>
      <c r="D210" s="6">
        <v>45193</v>
      </c>
      <c r="E210" s="5" t="s">
        <v>106</v>
      </c>
      <c r="F210" s="5" t="s">
        <v>82</v>
      </c>
      <c r="G210" s="5" t="s">
        <v>83</v>
      </c>
      <c r="H210" s="5" t="s">
        <v>108</v>
      </c>
      <c r="I210" s="5" t="s">
        <v>115</v>
      </c>
      <c r="J210" s="5" t="s">
        <v>116</v>
      </c>
      <c r="K210" s="5" t="s">
        <v>111</v>
      </c>
      <c r="L210" s="5">
        <v>8</v>
      </c>
      <c r="M210" s="5">
        <v>1291.11</v>
      </c>
      <c r="N210" s="5">
        <v>15</v>
      </c>
      <c r="O210" s="5">
        <v>8779.55</v>
      </c>
      <c r="P210">
        <f t="shared" si="39"/>
        <v>10328.88</v>
      </c>
      <c r="Q210">
        <f t="shared" si="40"/>
        <v>1549.332</v>
      </c>
      <c r="R210">
        <f t="shared" si="41"/>
        <v>8779.548</v>
      </c>
      <c r="S210" t="str">
        <f t="shared" si="42"/>
        <v>High</v>
      </c>
      <c r="T210" t="str">
        <f t="shared" si="43"/>
        <v>High</v>
      </c>
      <c r="U210" t="str">
        <f t="shared" si="44"/>
        <v>Heavy Discount</v>
      </c>
      <c r="V210" t="str">
        <f t="shared" si="45"/>
        <v>Excellent Sales</v>
      </c>
      <c r="W210">
        <f t="shared" si="46"/>
        <v>99</v>
      </c>
      <c r="X210">
        <f t="shared" si="47"/>
        <v>106</v>
      </c>
      <c r="Y210">
        <f t="shared" si="48"/>
        <v>37</v>
      </c>
      <c r="Z210" t="str">
        <f t="shared" si="49"/>
        <v>Not Eligible</v>
      </c>
      <c r="AA210" t="str">
        <f t="shared" si="50"/>
        <v>Prriority Order</v>
      </c>
      <c r="AB210" t="str">
        <f t="shared" si="51"/>
        <v>Online</v>
      </c>
    </row>
    <row r="211" spans="1:28">
      <c r="A211" s="5">
        <v>10210</v>
      </c>
      <c r="B211" s="5">
        <v>1035</v>
      </c>
      <c r="C211" s="6">
        <v>45284</v>
      </c>
      <c r="D211" s="6">
        <v>45284</v>
      </c>
      <c r="E211" s="5" t="s">
        <v>81</v>
      </c>
      <c r="F211" s="5" t="s">
        <v>127</v>
      </c>
      <c r="G211" s="5" t="s">
        <v>96</v>
      </c>
      <c r="H211" s="5" t="s">
        <v>84</v>
      </c>
      <c r="I211" s="5" t="s">
        <v>85</v>
      </c>
      <c r="J211" s="5" t="s">
        <v>86</v>
      </c>
      <c r="K211" s="5" t="s">
        <v>111</v>
      </c>
      <c r="L211" s="5">
        <v>8</v>
      </c>
      <c r="M211" s="5">
        <v>3656.59</v>
      </c>
      <c r="N211" s="5">
        <v>15</v>
      </c>
      <c r="O211" s="5">
        <v>24864.81</v>
      </c>
      <c r="P211">
        <f t="shared" si="39"/>
        <v>29252.72</v>
      </c>
      <c r="Q211">
        <f t="shared" si="40"/>
        <v>4387.908</v>
      </c>
      <c r="R211">
        <f t="shared" si="41"/>
        <v>24864.812</v>
      </c>
      <c r="S211" t="str">
        <f t="shared" si="42"/>
        <v>High</v>
      </c>
      <c r="T211" t="str">
        <f t="shared" si="43"/>
        <v>High</v>
      </c>
      <c r="U211" t="str">
        <f t="shared" si="44"/>
        <v>Heavy Discount</v>
      </c>
      <c r="V211" t="str">
        <f t="shared" si="45"/>
        <v>Excellent Sales</v>
      </c>
      <c r="W211">
        <f t="shared" si="46"/>
        <v>99</v>
      </c>
      <c r="X211">
        <f t="shared" si="47"/>
        <v>106</v>
      </c>
      <c r="Y211">
        <f t="shared" si="48"/>
        <v>36</v>
      </c>
      <c r="Z211" t="str">
        <f t="shared" si="49"/>
        <v>Not Eligible</v>
      </c>
      <c r="AA211" t="str">
        <f t="shared" si="50"/>
        <v>Prriority Order</v>
      </c>
      <c r="AB211" t="str">
        <f t="shared" si="51"/>
        <v/>
      </c>
    </row>
    <row r="212" spans="1:28">
      <c r="A212" s="5">
        <v>10211</v>
      </c>
      <c r="B212" s="5">
        <v>1524</v>
      </c>
      <c r="C212" s="6">
        <v>45000</v>
      </c>
      <c r="D212" s="6">
        <v>45000</v>
      </c>
      <c r="E212" s="5" t="s">
        <v>88</v>
      </c>
      <c r="F212" s="5" t="s">
        <v>89</v>
      </c>
      <c r="G212" s="5" t="s">
        <v>90</v>
      </c>
      <c r="H212" s="5" t="s">
        <v>108</v>
      </c>
      <c r="I212" s="5" t="s">
        <v>115</v>
      </c>
      <c r="J212" s="5" t="s">
        <v>119</v>
      </c>
      <c r="K212" s="5" t="s">
        <v>87</v>
      </c>
      <c r="L212" s="5">
        <v>7</v>
      </c>
      <c r="M212" s="5">
        <v>2257.55</v>
      </c>
      <c r="N212" s="5">
        <v>10</v>
      </c>
      <c r="O212" s="5">
        <v>14222.56</v>
      </c>
      <c r="P212">
        <f t="shared" si="39"/>
        <v>15802.85</v>
      </c>
      <c r="Q212">
        <f t="shared" si="40"/>
        <v>1580.285</v>
      </c>
      <c r="R212">
        <f t="shared" si="41"/>
        <v>14222.565</v>
      </c>
      <c r="S212" t="str">
        <f t="shared" si="42"/>
        <v>High</v>
      </c>
      <c r="T212" t="str">
        <f t="shared" si="43"/>
        <v>High</v>
      </c>
      <c r="U212" t="str">
        <f t="shared" si="44"/>
        <v>Heavy Discount</v>
      </c>
      <c r="V212" t="str">
        <f t="shared" si="45"/>
        <v>Excellent Sales</v>
      </c>
      <c r="W212">
        <f t="shared" si="46"/>
        <v>99</v>
      </c>
      <c r="X212">
        <f t="shared" si="47"/>
        <v>106</v>
      </c>
      <c r="Y212">
        <f t="shared" si="48"/>
        <v>36</v>
      </c>
      <c r="Z212" t="str">
        <f t="shared" si="49"/>
        <v>Not Eligible</v>
      </c>
      <c r="AA212" t="str">
        <f t="shared" si="50"/>
        <v>Prriority Order</v>
      </c>
      <c r="AB212" t="str">
        <f t="shared" si="51"/>
        <v>Online</v>
      </c>
    </row>
    <row r="213" spans="1:28">
      <c r="A213" s="5">
        <v>10212</v>
      </c>
      <c r="B213" s="5">
        <v>1159</v>
      </c>
      <c r="C213" s="6">
        <v>45019</v>
      </c>
      <c r="D213" s="6">
        <v>45019</v>
      </c>
      <c r="E213" s="5" t="s">
        <v>82</v>
      </c>
      <c r="F213" s="5" t="s">
        <v>95</v>
      </c>
      <c r="G213" s="5" t="s">
        <v>96</v>
      </c>
      <c r="H213" s="5" t="s">
        <v>110</v>
      </c>
      <c r="I213" s="5" t="s">
        <v>92</v>
      </c>
      <c r="J213" s="5" t="s">
        <v>136</v>
      </c>
      <c r="K213" s="5" t="s">
        <v>99</v>
      </c>
      <c r="L213" s="5">
        <v>1</v>
      </c>
      <c r="M213" s="5">
        <v>2975.54</v>
      </c>
      <c r="N213" s="5">
        <v>15</v>
      </c>
      <c r="O213" s="5">
        <v>2529.21</v>
      </c>
      <c r="P213">
        <f t="shared" si="39"/>
        <v>2975.54</v>
      </c>
      <c r="Q213">
        <f t="shared" si="40"/>
        <v>446.331</v>
      </c>
      <c r="R213">
        <f t="shared" si="41"/>
        <v>2529.209</v>
      </c>
      <c r="S213" t="str">
        <f t="shared" si="42"/>
        <v>Low</v>
      </c>
      <c r="T213" t="str">
        <f t="shared" si="43"/>
        <v>Low</v>
      </c>
      <c r="U213" t="str">
        <f t="shared" si="44"/>
        <v>Heavy Discount</v>
      </c>
      <c r="V213" t="str">
        <f t="shared" si="45"/>
        <v>Average</v>
      </c>
      <c r="W213">
        <f t="shared" si="46"/>
        <v>99</v>
      </c>
      <c r="X213">
        <f t="shared" si="47"/>
        <v>106</v>
      </c>
      <c r="Y213">
        <f t="shared" si="48"/>
        <v>35</v>
      </c>
      <c r="Z213" t="str">
        <f t="shared" si="49"/>
        <v>Not Eligible</v>
      </c>
      <c r="AA213" t="str">
        <f t="shared" si="50"/>
        <v>Normal Order</v>
      </c>
      <c r="AB213" t="str">
        <f t="shared" si="51"/>
        <v/>
      </c>
    </row>
    <row r="214" spans="1:28">
      <c r="A214" s="5">
        <v>10213</v>
      </c>
      <c r="B214" s="5">
        <v>1838</v>
      </c>
      <c r="C214" s="6">
        <v>45193</v>
      </c>
      <c r="D214" s="6">
        <v>45193</v>
      </c>
      <c r="E214" s="5" t="s">
        <v>81</v>
      </c>
      <c r="F214" s="5" t="s">
        <v>107</v>
      </c>
      <c r="G214" s="5" t="s">
        <v>90</v>
      </c>
      <c r="H214" s="5" t="s">
        <v>108</v>
      </c>
      <c r="I214" s="5" t="s">
        <v>115</v>
      </c>
      <c r="J214" s="5" t="s">
        <v>138</v>
      </c>
      <c r="K214" s="5" t="s">
        <v>87</v>
      </c>
      <c r="L214" s="5">
        <v>4</v>
      </c>
      <c r="M214" s="5">
        <v>1484.25</v>
      </c>
      <c r="N214" s="5">
        <v>20</v>
      </c>
      <c r="O214" s="5">
        <v>4749.6</v>
      </c>
      <c r="P214">
        <f t="shared" si="39"/>
        <v>5937</v>
      </c>
      <c r="Q214">
        <f t="shared" si="40"/>
        <v>1187.4</v>
      </c>
      <c r="R214">
        <f t="shared" si="41"/>
        <v>4749.6</v>
      </c>
      <c r="S214" t="str">
        <f t="shared" si="42"/>
        <v>Low</v>
      </c>
      <c r="T214" t="str">
        <f t="shared" si="43"/>
        <v>Low</v>
      </c>
      <c r="U214" t="str">
        <f t="shared" si="44"/>
        <v>Heavy Discount</v>
      </c>
      <c r="V214" t="str">
        <f t="shared" si="45"/>
        <v>Good</v>
      </c>
      <c r="W214">
        <f t="shared" si="46"/>
        <v>99</v>
      </c>
      <c r="X214">
        <f t="shared" si="47"/>
        <v>106</v>
      </c>
      <c r="Y214">
        <f t="shared" si="48"/>
        <v>35</v>
      </c>
      <c r="Z214" t="str">
        <f t="shared" si="49"/>
        <v>Not Eligible</v>
      </c>
      <c r="AA214" t="str">
        <f t="shared" si="50"/>
        <v>Normal Order</v>
      </c>
      <c r="AB214" t="str">
        <f t="shared" si="51"/>
        <v>Online</v>
      </c>
    </row>
    <row r="215" spans="1:28">
      <c r="A215" s="5">
        <v>10214</v>
      </c>
      <c r="B215" s="5">
        <v>1698</v>
      </c>
      <c r="C215" s="6">
        <v>45061</v>
      </c>
      <c r="D215" s="6">
        <v>45061</v>
      </c>
      <c r="E215" s="5" t="s">
        <v>103</v>
      </c>
      <c r="F215" s="5" t="s">
        <v>95</v>
      </c>
      <c r="G215" s="5" t="s">
        <v>90</v>
      </c>
      <c r="H215" s="5" t="s">
        <v>110</v>
      </c>
      <c r="I215" s="5" t="s">
        <v>115</v>
      </c>
      <c r="J215" s="5" t="s">
        <v>138</v>
      </c>
      <c r="K215" s="5" t="s">
        <v>113</v>
      </c>
      <c r="L215" s="5">
        <v>4</v>
      </c>
      <c r="M215" s="5">
        <v>1719.71</v>
      </c>
      <c r="N215" s="5">
        <v>15</v>
      </c>
      <c r="O215" s="5">
        <v>5847.01</v>
      </c>
      <c r="P215">
        <f t="shared" si="39"/>
        <v>6878.84</v>
      </c>
      <c r="Q215">
        <f t="shared" si="40"/>
        <v>1031.826</v>
      </c>
      <c r="R215">
        <f t="shared" si="41"/>
        <v>5847.014</v>
      </c>
      <c r="S215" t="str">
        <f t="shared" si="42"/>
        <v>Low</v>
      </c>
      <c r="T215" t="str">
        <f t="shared" si="43"/>
        <v>Low</v>
      </c>
      <c r="U215" t="str">
        <f t="shared" si="44"/>
        <v>Heavy Discount</v>
      </c>
      <c r="V215" t="str">
        <f t="shared" si="45"/>
        <v>Good</v>
      </c>
      <c r="W215">
        <f t="shared" si="46"/>
        <v>99</v>
      </c>
      <c r="X215">
        <f t="shared" si="47"/>
        <v>106</v>
      </c>
      <c r="Y215">
        <f t="shared" si="48"/>
        <v>34</v>
      </c>
      <c r="Z215" t="str">
        <f t="shared" si="49"/>
        <v>Not Eligible</v>
      </c>
      <c r="AA215" t="str">
        <f t="shared" si="50"/>
        <v>Normal Order</v>
      </c>
      <c r="AB215" t="str">
        <f t="shared" si="51"/>
        <v>Online</v>
      </c>
    </row>
    <row r="216" spans="1:28">
      <c r="A216" s="5">
        <v>10215</v>
      </c>
      <c r="B216" s="5">
        <v>1242</v>
      </c>
      <c r="C216" s="6">
        <v>45162</v>
      </c>
      <c r="D216" s="6">
        <v>45162</v>
      </c>
      <c r="E216" s="5" t="s">
        <v>81</v>
      </c>
      <c r="F216" s="5" t="s">
        <v>82</v>
      </c>
      <c r="G216" s="5" t="s">
        <v>83</v>
      </c>
      <c r="H216" s="5" t="s">
        <v>91</v>
      </c>
      <c r="I216" s="5" t="s">
        <v>92</v>
      </c>
      <c r="J216" s="5" t="s">
        <v>93</v>
      </c>
      <c r="K216" s="5" t="s">
        <v>87</v>
      </c>
      <c r="L216" s="5">
        <v>5</v>
      </c>
      <c r="M216" s="5">
        <v>633.43</v>
      </c>
      <c r="N216" s="5">
        <v>20</v>
      </c>
      <c r="O216" s="5">
        <v>2533.72</v>
      </c>
      <c r="P216">
        <f t="shared" si="39"/>
        <v>3167.15</v>
      </c>
      <c r="Q216">
        <f t="shared" si="40"/>
        <v>633.43</v>
      </c>
      <c r="R216">
        <f t="shared" si="41"/>
        <v>2533.72</v>
      </c>
      <c r="S216" t="str">
        <f t="shared" si="42"/>
        <v>High</v>
      </c>
      <c r="T216" t="str">
        <f t="shared" si="43"/>
        <v>Medium</v>
      </c>
      <c r="U216" t="str">
        <f t="shared" si="44"/>
        <v>Heavy Discount</v>
      </c>
      <c r="V216" t="str">
        <f t="shared" si="45"/>
        <v>Average</v>
      </c>
      <c r="W216">
        <f t="shared" si="46"/>
        <v>99</v>
      </c>
      <c r="X216">
        <f t="shared" si="47"/>
        <v>106</v>
      </c>
      <c r="Y216">
        <f t="shared" si="48"/>
        <v>33</v>
      </c>
      <c r="Z216" t="str">
        <f t="shared" si="49"/>
        <v>Not Eligible</v>
      </c>
      <c r="AA216" t="str">
        <f t="shared" si="50"/>
        <v>Normal Order</v>
      </c>
      <c r="AB216" t="str">
        <f t="shared" si="51"/>
        <v>Online</v>
      </c>
    </row>
    <row r="217" spans="1:28">
      <c r="A217" s="5">
        <v>10216</v>
      </c>
      <c r="B217" s="5">
        <v>1085</v>
      </c>
      <c r="C217" s="6">
        <v>45227</v>
      </c>
      <c r="D217" s="6">
        <v>45227</v>
      </c>
      <c r="E217" s="5" t="s">
        <v>103</v>
      </c>
      <c r="F217" s="5" t="s">
        <v>89</v>
      </c>
      <c r="G217" s="5" t="s">
        <v>90</v>
      </c>
      <c r="H217" s="5" t="s">
        <v>84</v>
      </c>
      <c r="I217" s="5" t="s">
        <v>132</v>
      </c>
      <c r="J217" s="5" t="s">
        <v>142</v>
      </c>
      <c r="K217" s="5" t="s">
        <v>87</v>
      </c>
      <c r="L217" s="5">
        <v>6</v>
      </c>
      <c r="M217" s="5">
        <v>809.49</v>
      </c>
      <c r="N217" s="5">
        <v>5</v>
      </c>
      <c r="O217" s="5">
        <v>4614.09</v>
      </c>
      <c r="P217">
        <f t="shared" si="39"/>
        <v>4856.94</v>
      </c>
      <c r="Q217">
        <f t="shared" si="40"/>
        <v>242.847</v>
      </c>
      <c r="R217">
        <f t="shared" si="41"/>
        <v>4614.093</v>
      </c>
      <c r="S217" t="str">
        <f t="shared" si="42"/>
        <v>High</v>
      </c>
      <c r="T217" t="str">
        <f t="shared" si="43"/>
        <v>High</v>
      </c>
      <c r="U217" t="str">
        <f t="shared" si="44"/>
        <v>Heavy Discount</v>
      </c>
      <c r="V217" t="str">
        <f t="shared" si="45"/>
        <v>Good</v>
      </c>
      <c r="W217">
        <f t="shared" si="46"/>
        <v>99</v>
      </c>
      <c r="X217">
        <f t="shared" si="47"/>
        <v>106</v>
      </c>
      <c r="Y217">
        <f t="shared" si="48"/>
        <v>33</v>
      </c>
      <c r="Z217" t="str">
        <f t="shared" si="49"/>
        <v>Not Eligible</v>
      </c>
      <c r="AA217" t="str">
        <f t="shared" si="50"/>
        <v>Prriority Order</v>
      </c>
      <c r="AB217" t="str">
        <f t="shared" si="51"/>
        <v>Online</v>
      </c>
    </row>
    <row r="218" spans="1:28">
      <c r="A218" s="5">
        <v>10217</v>
      </c>
      <c r="B218" s="5">
        <v>1795</v>
      </c>
      <c r="C218" s="6">
        <v>45057</v>
      </c>
      <c r="D218" s="6">
        <v>45057</v>
      </c>
      <c r="E218" s="5" t="s">
        <v>103</v>
      </c>
      <c r="F218" s="5" t="s">
        <v>107</v>
      </c>
      <c r="G218" s="5" t="s">
        <v>90</v>
      </c>
      <c r="H218" s="5" t="s">
        <v>108</v>
      </c>
      <c r="I218" s="5" t="s">
        <v>115</v>
      </c>
      <c r="J218" s="5" t="s">
        <v>116</v>
      </c>
      <c r="K218" s="5" t="s">
        <v>94</v>
      </c>
      <c r="L218" s="5">
        <v>4</v>
      </c>
      <c r="M218" s="5">
        <v>3335.32</v>
      </c>
      <c r="N218" s="5">
        <v>20</v>
      </c>
      <c r="O218" s="5">
        <v>10673.02</v>
      </c>
      <c r="P218">
        <f t="shared" si="39"/>
        <v>13341.28</v>
      </c>
      <c r="Q218">
        <f t="shared" si="40"/>
        <v>2668.256</v>
      </c>
      <c r="R218">
        <f t="shared" si="41"/>
        <v>10673.024</v>
      </c>
      <c r="S218" t="str">
        <f t="shared" si="42"/>
        <v>Low</v>
      </c>
      <c r="T218" t="str">
        <f t="shared" si="43"/>
        <v>Low</v>
      </c>
      <c r="U218" t="str">
        <f t="shared" si="44"/>
        <v>Heavy Discount</v>
      </c>
      <c r="V218" t="str">
        <f t="shared" si="45"/>
        <v>Excellent Sales</v>
      </c>
      <c r="W218">
        <f t="shared" si="46"/>
        <v>99</v>
      </c>
      <c r="X218">
        <f t="shared" si="47"/>
        <v>106</v>
      </c>
      <c r="Y218">
        <f t="shared" si="48"/>
        <v>33</v>
      </c>
      <c r="Z218" t="str">
        <f t="shared" si="49"/>
        <v>Not Eligible</v>
      </c>
      <c r="AA218" t="str">
        <f t="shared" si="50"/>
        <v>Prriority Order</v>
      </c>
      <c r="AB218" t="str">
        <f t="shared" si="51"/>
        <v>Online</v>
      </c>
    </row>
    <row r="219" spans="1:28">
      <c r="A219" s="5">
        <v>10218</v>
      </c>
      <c r="B219" s="5">
        <v>1577</v>
      </c>
      <c r="C219" s="6">
        <v>45209</v>
      </c>
      <c r="D219" s="6">
        <v>45209</v>
      </c>
      <c r="E219" s="5" t="s">
        <v>103</v>
      </c>
      <c r="F219" s="5" t="s">
        <v>95</v>
      </c>
      <c r="G219" s="5" t="s">
        <v>83</v>
      </c>
      <c r="H219" s="5" t="s">
        <v>110</v>
      </c>
      <c r="I219" s="5" t="s">
        <v>92</v>
      </c>
      <c r="J219" s="5" t="s">
        <v>144</v>
      </c>
      <c r="K219" s="5" t="s">
        <v>111</v>
      </c>
      <c r="L219" s="5">
        <v>2</v>
      </c>
      <c r="M219" s="5">
        <v>2401.63</v>
      </c>
      <c r="N219" s="5">
        <v>0</v>
      </c>
      <c r="O219" s="5">
        <v>4803.26</v>
      </c>
      <c r="P219">
        <f t="shared" si="39"/>
        <v>4803.26</v>
      </c>
      <c r="Q219">
        <f t="shared" si="40"/>
        <v>0</v>
      </c>
      <c r="R219">
        <f t="shared" si="41"/>
        <v>4803.26</v>
      </c>
      <c r="S219" t="str">
        <f t="shared" si="42"/>
        <v>Low</v>
      </c>
      <c r="T219" t="str">
        <f t="shared" si="43"/>
        <v>Low</v>
      </c>
      <c r="U219" t="str">
        <f t="shared" si="44"/>
        <v>Normal Discount</v>
      </c>
      <c r="V219" t="str">
        <f t="shared" si="45"/>
        <v>Good</v>
      </c>
      <c r="W219">
        <f t="shared" si="46"/>
        <v>99</v>
      </c>
      <c r="X219">
        <f t="shared" si="47"/>
        <v>106</v>
      </c>
      <c r="Y219">
        <f t="shared" si="48"/>
        <v>32</v>
      </c>
      <c r="Z219" t="str">
        <f t="shared" si="49"/>
        <v>Eligible</v>
      </c>
      <c r="AA219" t="str">
        <f t="shared" si="50"/>
        <v>Normal Order</v>
      </c>
      <c r="AB219" t="str">
        <f t="shared" si="51"/>
        <v>Online</v>
      </c>
    </row>
    <row r="220" spans="1:28">
      <c r="A220" s="5">
        <v>10219</v>
      </c>
      <c r="B220" s="5">
        <v>1681</v>
      </c>
      <c r="C220" s="6">
        <v>45242</v>
      </c>
      <c r="D220" s="6">
        <v>45242</v>
      </c>
      <c r="E220" s="5" t="s">
        <v>106</v>
      </c>
      <c r="F220" s="5" t="s">
        <v>127</v>
      </c>
      <c r="G220" s="5" t="s">
        <v>96</v>
      </c>
      <c r="H220" s="5" t="s">
        <v>101</v>
      </c>
      <c r="I220" s="5" t="s">
        <v>123</v>
      </c>
      <c r="J220" s="5" t="s">
        <v>139</v>
      </c>
      <c r="K220" s="5" t="s">
        <v>99</v>
      </c>
      <c r="L220" s="5">
        <v>6</v>
      </c>
      <c r="M220" s="5">
        <v>1449.5</v>
      </c>
      <c r="N220" s="5">
        <v>0</v>
      </c>
      <c r="O220" s="5">
        <v>8697</v>
      </c>
      <c r="P220">
        <f t="shared" si="39"/>
        <v>8697</v>
      </c>
      <c r="Q220">
        <f t="shared" si="40"/>
        <v>0</v>
      </c>
      <c r="R220">
        <f t="shared" si="41"/>
        <v>8697</v>
      </c>
      <c r="S220" t="str">
        <f t="shared" si="42"/>
        <v>High</v>
      </c>
      <c r="T220" t="str">
        <f t="shared" si="43"/>
        <v>High</v>
      </c>
      <c r="U220" t="str">
        <f t="shared" si="44"/>
        <v>Normal Discount</v>
      </c>
      <c r="V220" t="str">
        <f t="shared" si="45"/>
        <v>Excellent Sales</v>
      </c>
      <c r="W220">
        <f t="shared" si="46"/>
        <v>99</v>
      </c>
      <c r="X220">
        <f t="shared" si="47"/>
        <v>106</v>
      </c>
      <c r="Y220">
        <f t="shared" si="48"/>
        <v>32</v>
      </c>
      <c r="Z220" t="str">
        <f t="shared" si="49"/>
        <v>Eligible</v>
      </c>
      <c r="AA220" t="str">
        <f t="shared" si="50"/>
        <v>Prriority Order</v>
      </c>
      <c r="AB220" t="str">
        <f t="shared" si="51"/>
        <v/>
      </c>
    </row>
    <row r="221" spans="1:28">
      <c r="A221" s="5">
        <v>10220</v>
      </c>
      <c r="B221" s="5">
        <v>1556</v>
      </c>
      <c r="C221" s="6">
        <v>45035</v>
      </c>
      <c r="D221" s="6">
        <v>45035</v>
      </c>
      <c r="E221" s="5" t="s">
        <v>103</v>
      </c>
      <c r="F221" s="5" t="s">
        <v>82</v>
      </c>
      <c r="G221" s="5" t="s">
        <v>90</v>
      </c>
      <c r="H221" s="5" t="s">
        <v>84</v>
      </c>
      <c r="I221" s="5" t="s">
        <v>85</v>
      </c>
      <c r="J221" s="5" t="s">
        <v>129</v>
      </c>
      <c r="K221" s="5" t="s">
        <v>87</v>
      </c>
      <c r="L221" s="5">
        <v>8</v>
      </c>
      <c r="M221" s="5">
        <v>3240.98</v>
      </c>
      <c r="N221" s="5">
        <v>0</v>
      </c>
      <c r="O221" s="5">
        <v>25927.84</v>
      </c>
      <c r="P221">
        <f t="shared" si="39"/>
        <v>25927.84</v>
      </c>
      <c r="Q221">
        <f t="shared" si="40"/>
        <v>0</v>
      </c>
      <c r="R221">
        <f t="shared" si="41"/>
        <v>25927.84</v>
      </c>
      <c r="S221" t="str">
        <f t="shared" si="42"/>
        <v>High</v>
      </c>
      <c r="T221" t="str">
        <f t="shared" si="43"/>
        <v>High</v>
      </c>
      <c r="U221" t="str">
        <f t="shared" si="44"/>
        <v>Normal Discount</v>
      </c>
      <c r="V221" t="str">
        <f t="shared" si="45"/>
        <v>Excellent Sales</v>
      </c>
      <c r="W221">
        <f t="shared" si="46"/>
        <v>99</v>
      </c>
      <c r="X221">
        <f t="shared" si="47"/>
        <v>106</v>
      </c>
      <c r="Y221">
        <f t="shared" si="48"/>
        <v>32</v>
      </c>
      <c r="Z221" t="str">
        <f t="shared" si="49"/>
        <v>Eligible</v>
      </c>
      <c r="AA221" t="str">
        <f t="shared" si="50"/>
        <v>Prriority Order</v>
      </c>
      <c r="AB221" t="str">
        <f t="shared" si="51"/>
        <v>Online</v>
      </c>
    </row>
    <row r="222" spans="1:28">
      <c r="A222" s="5">
        <v>10221</v>
      </c>
      <c r="B222" s="5">
        <v>1573</v>
      </c>
      <c r="C222" s="6">
        <v>45259</v>
      </c>
      <c r="D222" s="6">
        <v>45259</v>
      </c>
      <c r="E222" s="5" t="s">
        <v>103</v>
      </c>
      <c r="F222" s="5" t="s">
        <v>89</v>
      </c>
      <c r="G222" s="5" t="s">
        <v>83</v>
      </c>
      <c r="H222" s="5" t="s">
        <v>91</v>
      </c>
      <c r="I222" s="5" t="s">
        <v>85</v>
      </c>
      <c r="J222" s="5" t="s">
        <v>86</v>
      </c>
      <c r="K222" s="5" t="s">
        <v>99</v>
      </c>
      <c r="L222" s="5">
        <v>8</v>
      </c>
      <c r="M222" s="5">
        <v>1099.1</v>
      </c>
      <c r="N222" s="5">
        <v>10</v>
      </c>
      <c r="O222" s="5">
        <v>7913.52</v>
      </c>
      <c r="P222">
        <f t="shared" si="39"/>
        <v>8792.8</v>
      </c>
      <c r="Q222">
        <f t="shared" si="40"/>
        <v>879.28</v>
      </c>
      <c r="R222">
        <f t="shared" si="41"/>
        <v>7913.52</v>
      </c>
      <c r="S222" t="str">
        <f t="shared" si="42"/>
        <v>High</v>
      </c>
      <c r="T222" t="str">
        <f t="shared" si="43"/>
        <v>High</v>
      </c>
      <c r="U222" t="str">
        <f t="shared" si="44"/>
        <v>Heavy Discount</v>
      </c>
      <c r="V222" t="str">
        <f t="shared" si="45"/>
        <v>Excellent Sales</v>
      </c>
      <c r="W222">
        <f t="shared" si="46"/>
        <v>99</v>
      </c>
      <c r="X222">
        <f t="shared" si="47"/>
        <v>106</v>
      </c>
      <c r="Y222">
        <f t="shared" si="48"/>
        <v>32</v>
      </c>
      <c r="Z222" t="str">
        <f t="shared" si="49"/>
        <v>Not Eligible</v>
      </c>
      <c r="AA222" t="str">
        <f t="shared" si="50"/>
        <v>Prriority Order</v>
      </c>
      <c r="AB222" t="str">
        <f t="shared" si="51"/>
        <v>Online</v>
      </c>
    </row>
    <row r="223" spans="1:28">
      <c r="A223" s="5">
        <v>10222</v>
      </c>
      <c r="B223" s="5">
        <v>1952</v>
      </c>
      <c r="C223" s="6">
        <v>45231</v>
      </c>
      <c r="D223" s="6">
        <v>45231</v>
      </c>
      <c r="E223" s="5" t="s">
        <v>82</v>
      </c>
      <c r="F223" s="5" t="s">
        <v>82</v>
      </c>
      <c r="G223" s="5" t="s">
        <v>90</v>
      </c>
      <c r="H223" s="5" t="s">
        <v>110</v>
      </c>
      <c r="I223" s="5" t="s">
        <v>115</v>
      </c>
      <c r="J223" s="5" t="s">
        <v>119</v>
      </c>
      <c r="K223" s="5" t="s">
        <v>87</v>
      </c>
      <c r="L223" s="5">
        <v>7</v>
      </c>
      <c r="M223" s="5">
        <v>3907.73</v>
      </c>
      <c r="N223" s="5">
        <v>10</v>
      </c>
      <c r="O223" s="5">
        <v>24618.7</v>
      </c>
      <c r="P223">
        <f t="shared" si="39"/>
        <v>27354.11</v>
      </c>
      <c r="Q223">
        <f t="shared" si="40"/>
        <v>2735.411</v>
      </c>
      <c r="R223">
        <f t="shared" si="41"/>
        <v>24618.699</v>
      </c>
      <c r="S223" t="str">
        <f t="shared" si="42"/>
        <v>High</v>
      </c>
      <c r="T223" t="str">
        <f t="shared" si="43"/>
        <v>High</v>
      </c>
      <c r="U223" t="str">
        <f t="shared" si="44"/>
        <v>Heavy Discount</v>
      </c>
      <c r="V223" t="str">
        <f t="shared" si="45"/>
        <v>Excellent Sales</v>
      </c>
      <c r="W223">
        <f t="shared" si="46"/>
        <v>99</v>
      </c>
      <c r="X223">
        <f t="shared" si="47"/>
        <v>106</v>
      </c>
      <c r="Y223">
        <f t="shared" si="48"/>
        <v>32</v>
      </c>
      <c r="Z223" t="str">
        <f t="shared" si="49"/>
        <v>Not Eligible</v>
      </c>
      <c r="AA223" t="str">
        <f t="shared" si="50"/>
        <v>Prriority Order</v>
      </c>
      <c r="AB223" t="str">
        <f t="shared" si="51"/>
        <v>Online</v>
      </c>
    </row>
    <row r="224" spans="1:28">
      <c r="A224" s="5">
        <v>10223</v>
      </c>
      <c r="B224" s="5">
        <v>1645</v>
      </c>
      <c r="C224" s="6">
        <v>45117</v>
      </c>
      <c r="D224" s="6">
        <v>45117</v>
      </c>
      <c r="E224" s="5" t="s">
        <v>112</v>
      </c>
      <c r="F224" s="5" t="s">
        <v>127</v>
      </c>
      <c r="G224" s="5" t="s">
        <v>83</v>
      </c>
      <c r="H224" s="5" t="s">
        <v>91</v>
      </c>
      <c r="I224" s="5" t="s">
        <v>132</v>
      </c>
      <c r="J224" s="5" t="s">
        <v>134</v>
      </c>
      <c r="K224" s="5" t="s">
        <v>113</v>
      </c>
      <c r="L224" s="5">
        <v>6</v>
      </c>
      <c r="M224" s="5">
        <v>1477.55</v>
      </c>
      <c r="N224" s="5">
        <v>10</v>
      </c>
      <c r="O224" s="5">
        <v>7978.77</v>
      </c>
      <c r="P224">
        <f t="shared" si="39"/>
        <v>8865.3</v>
      </c>
      <c r="Q224">
        <f t="shared" si="40"/>
        <v>886.53</v>
      </c>
      <c r="R224">
        <f t="shared" si="41"/>
        <v>7978.77</v>
      </c>
      <c r="S224" t="str">
        <f t="shared" si="42"/>
        <v>High</v>
      </c>
      <c r="T224" t="str">
        <f t="shared" si="43"/>
        <v>High</v>
      </c>
      <c r="U224" t="str">
        <f t="shared" si="44"/>
        <v>Heavy Discount</v>
      </c>
      <c r="V224" t="str">
        <f t="shared" si="45"/>
        <v>Excellent Sales</v>
      </c>
      <c r="W224">
        <f t="shared" si="46"/>
        <v>99</v>
      </c>
      <c r="X224">
        <f t="shared" si="47"/>
        <v>106</v>
      </c>
      <c r="Y224">
        <f t="shared" si="48"/>
        <v>31</v>
      </c>
      <c r="Z224" t="str">
        <f t="shared" si="49"/>
        <v>Not Eligible</v>
      </c>
      <c r="AA224" t="str">
        <f t="shared" si="50"/>
        <v>Prriority Order</v>
      </c>
      <c r="AB224" t="str">
        <f t="shared" si="51"/>
        <v>Online</v>
      </c>
    </row>
    <row r="225" spans="1:28">
      <c r="A225" s="5">
        <v>10224</v>
      </c>
      <c r="B225" s="5">
        <v>1795</v>
      </c>
      <c r="C225" s="6">
        <v>45106</v>
      </c>
      <c r="D225" s="6">
        <v>45106</v>
      </c>
      <c r="E225" s="5" t="s">
        <v>100</v>
      </c>
      <c r="F225" s="5" t="s">
        <v>89</v>
      </c>
      <c r="G225" s="5" t="s">
        <v>96</v>
      </c>
      <c r="H225" s="5" t="s">
        <v>91</v>
      </c>
      <c r="I225" s="5" t="s">
        <v>132</v>
      </c>
      <c r="J225" s="5" t="s">
        <v>133</v>
      </c>
      <c r="K225" s="5" t="s">
        <v>87</v>
      </c>
      <c r="L225" s="5">
        <v>2</v>
      </c>
      <c r="M225" s="5">
        <v>1448.65</v>
      </c>
      <c r="N225" s="5">
        <v>20</v>
      </c>
      <c r="O225" s="5">
        <v>2317.84</v>
      </c>
      <c r="P225">
        <f t="shared" si="39"/>
        <v>2897.3</v>
      </c>
      <c r="Q225">
        <f t="shared" si="40"/>
        <v>579.46</v>
      </c>
      <c r="R225">
        <f t="shared" si="41"/>
        <v>2317.84</v>
      </c>
      <c r="S225" t="str">
        <f t="shared" si="42"/>
        <v>Low</v>
      </c>
      <c r="T225" t="str">
        <f t="shared" si="43"/>
        <v>Low</v>
      </c>
      <c r="U225" t="str">
        <f t="shared" si="44"/>
        <v>Heavy Discount</v>
      </c>
      <c r="V225" t="str">
        <f t="shared" si="45"/>
        <v>Average</v>
      </c>
      <c r="W225">
        <f t="shared" si="46"/>
        <v>99</v>
      </c>
      <c r="X225">
        <f t="shared" si="47"/>
        <v>106</v>
      </c>
      <c r="Y225">
        <f t="shared" si="48"/>
        <v>31</v>
      </c>
      <c r="Z225" t="str">
        <f t="shared" si="49"/>
        <v>Not Eligible</v>
      </c>
      <c r="AA225" t="str">
        <f t="shared" si="50"/>
        <v>Normal Order</v>
      </c>
      <c r="AB225" t="str">
        <f t="shared" si="51"/>
        <v/>
      </c>
    </row>
    <row r="226" spans="1:28">
      <c r="A226" s="5">
        <v>10225</v>
      </c>
      <c r="B226" s="5">
        <v>1027</v>
      </c>
      <c r="C226" s="6">
        <v>45246</v>
      </c>
      <c r="D226" s="6">
        <v>45246</v>
      </c>
      <c r="E226" s="5" t="s">
        <v>112</v>
      </c>
      <c r="F226" s="5" t="s">
        <v>82</v>
      </c>
      <c r="G226" s="5" t="s">
        <v>96</v>
      </c>
      <c r="H226" s="5" t="s">
        <v>108</v>
      </c>
      <c r="I226" s="5" t="s">
        <v>123</v>
      </c>
      <c r="J226" s="5" t="s">
        <v>124</v>
      </c>
      <c r="K226" s="5" t="s">
        <v>94</v>
      </c>
      <c r="L226" s="5">
        <v>7</v>
      </c>
      <c r="M226" s="5">
        <v>1350.86</v>
      </c>
      <c r="N226" s="5">
        <v>10</v>
      </c>
      <c r="O226" s="5">
        <v>8510.42</v>
      </c>
      <c r="P226">
        <f t="shared" si="39"/>
        <v>9456.02</v>
      </c>
      <c r="Q226">
        <f t="shared" si="40"/>
        <v>945.602</v>
      </c>
      <c r="R226">
        <f t="shared" si="41"/>
        <v>8510.418</v>
      </c>
      <c r="S226" t="str">
        <f t="shared" si="42"/>
        <v>High</v>
      </c>
      <c r="T226" t="str">
        <f t="shared" si="43"/>
        <v>High</v>
      </c>
      <c r="U226" t="str">
        <f t="shared" si="44"/>
        <v>Heavy Discount</v>
      </c>
      <c r="V226" t="str">
        <f t="shared" si="45"/>
        <v>Excellent Sales</v>
      </c>
      <c r="W226">
        <f t="shared" si="46"/>
        <v>99</v>
      </c>
      <c r="X226">
        <f t="shared" si="47"/>
        <v>106</v>
      </c>
      <c r="Y226">
        <f t="shared" si="48"/>
        <v>31</v>
      </c>
      <c r="Z226" t="str">
        <f t="shared" si="49"/>
        <v>Not Eligible</v>
      </c>
      <c r="AA226" t="str">
        <f t="shared" si="50"/>
        <v>Prriority Order</v>
      </c>
      <c r="AB226" t="str">
        <f t="shared" si="51"/>
        <v/>
      </c>
    </row>
    <row r="227" spans="1:28">
      <c r="A227" s="5">
        <v>10226</v>
      </c>
      <c r="B227" s="5">
        <v>1619</v>
      </c>
      <c r="C227" s="6">
        <v>45291</v>
      </c>
      <c r="D227" s="6">
        <v>45291</v>
      </c>
      <c r="E227" s="5" t="s">
        <v>103</v>
      </c>
      <c r="F227" s="5" t="s">
        <v>104</v>
      </c>
      <c r="G227" s="5" t="s">
        <v>83</v>
      </c>
      <c r="H227" s="5" t="s">
        <v>108</v>
      </c>
      <c r="I227" s="5" t="s">
        <v>115</v>
      </c>
      <c r="J227" s="5" t="s">
        <v>138</v>
      </c>
      <c r="K227" s="5" t="s">
        <v>111</v>
      </c>
      <c r="L227" s="5">
        <v>5</v>
      </c>
      <c r="M227" s="5">
        <v>620.13</v>
      </c>
      <c r="N227" s="5">
        <v>5</v>
      </c>
      <c r="O227" s="5">
        <v>2945.62</v>
      </c>
      <c r="P227">
        <f t="shared" si="39"/>
        <v>3100.65</v>
      </c>
      <c r="Q227">
        <f t="shared" si="40"/>
        <v>155.0325</v>
      </c>
      <c r="R227">
        <f t="shared" si="41"/>
        <v>2945.6175</v>
      </c>
      <c r="S227" t="str">
        <f t="shared" si="42"/>
        <v>High</v>
      </c>
      <c r="T227" t="str">
        <f t="shared" si="43"/>
        <v>Medium</v>
      </c>
      <c r="U227" t="str">
        <f t="shared" si="44"/>
        <v>Heavy Discount</v>
      </c>
      <c r="V227" t="str">
        <f t="shared" si="45"/>
        <v>Average</v>
      </c>
      <c r="W227">
        <f t="shared" si="46"/>
        <v>99</v>
      </c>
      <c r="X227">
        <f t="shared" si="47"/>
        <v>106</v>
      </c>
      <c r="Y227">
        <f t="shared" si="48"/>
        <v>31</v>
      </c>
      <c r="Z227" t="str">
        <f t="shared" si="49"/>
        <v>Not Eligible</v>
      </c>
      <c r="AA227" t="str">
        <f t="shared" si="50"/>
        <v>Normal Order</v>
      </c>
      <c r="AB227" t="str">
        <f t="shared" si="51"/>
        <v>Online</v>
      </c>
    </row>
    <row r="228" spans="1:28">
      <c r="A228" s="5">
        <v>10227</v>
      </c>
      <c r="B228" s="5">
        <v>1555</v>
      </c>
      <c r="C228" s="6">
        <v>45122</v>
      </c>
      <c r="D228" s="6">
        <v>45122</v>
      </c>
      <c r="E228" s="5" t="s">
        <v>82</v>
      </c>
      <c r="F228" s="5" t="s">
        <v>127</v>
      </c>
      <c r="G228" s="5" t="s">
        <v>83</v>
      </c>
      <c r="H228" s="5" t="s">
        <v>110</v>
      </c>
      <c r="I228" s="5" t="s">
        <v>85</v>
      </c>
      <c r="J228" s="5" t="s">
        <v>129</v>
      </c>
      <c r="K228" s="5" t="s">
        <v>113</v>
      </c>
      <c r="L228" s="5">
        <v>6</v>
      </c>
      <c r="M228" s="5">
        <v>577.88</v>
      </c>
      <c r="N228" s="5">
        <v>0</v>
      </c>
      <c r="O228" s="5">
        <v>3467.28</v>
      </c>
      <c r="P228">
        <f t="shared" si="39"/>
        <v>3467.28</v>
      </c>
      <c r="Q228">
        <f t="shared" si="40"/>
        <v>0</v>
      </c>
      <c r="R228">
        <f t="shared" si="41"/>
        <v>3467.28</v>
      </c>
      <c r="S228" t="str">
        <f t="shared" si="42"/>
        <v>High</v>
      </c>
      <c r="T228" t="str">
        <f t="shared" si="43"/>
        <v>High</v>
      </c>
      <c r="U228" t="str">
        <f t="shared" si="44"/>
        <v>Normal Discount</v>
      </c>
      <c r="V228" t="str">
        <f t="shared" si="45"/>
        <v>Average</v>
      </c>
      <c r="W228">
        <f t="shared" si="46"/>
        <v>99</v>
      </c>
      <c r="X228">
        <f t="shared" si="47"/>
        <v>106</v>
      </c>
      <c r="Y228">
        <f t="shared" si="48"/>
        <v>30</v>
      </c>
      <c r="Z228" t="str">
        <f t="shared" si="49"/>
        <v>Eligible</v>
      </c>
      <c r="AA228" t="str">
        <f t="shared" si="50"/>
        <v>Prriority Order</v>
      </c>
      <c r="AB228" t="str">
        <f t="shared" si="51"/>
        <v>Online</v>
      </c>
    </row>
    <row r="229" spans="1:28">
      <c r="A229" s="5">
        <v>10228</v>
      </c>
      <c r="B229" s="5">
        <v>1339</v>
      </c>
      <c r="C229" s="6">
        <v>44990</v>
      </c>
      <c r="D229" s="6">
        <v>44990</v>
      </c>
      <c r="E229" s="5" t="s">
        <v>81</v>
      </c>
      <c r="F229" s="5" t="s">
        <v>127</v>
      </c>
      <c r="G229" s="5" t="s">
        <v>83</v>
      </c>
      <c r="H229" s="5" t="s">
        <v>101</v>
      </c>
      <c r="I229" s="5" t="s">
        <v>132</v>
      </c>
      <c r="J229" s="5" t="s">
        <v>137</v>
      </c>
      <c r="K229" s="5" t="s">
        <v>87</v>
      </c>
      <c r="L229" s="5">
        <v>8</v>
      </c>
      <c r="M229" s="5">
        <v>2645.2</v>
      </c>
      <c r="N229" s="5">
        <v>20</v>
      </c>
      <c r="O229" s="5">
        <v>16929.28</v>
      </c>
      <c r="P229">
        <f t="shared" si="39"/>
        <v>21161.6</v>
      </c>
      <c r="Q229">
        <f t="shared" si="40"/>
        <v>4232.32</v>
      </c>
      <c r="R229">
        <f t="shared" si="41"/>
        <v>16929.28</v>
      </c>
      <c r="S229" t="str">
        <f t="shared" si="42"/>
        <v>High</v>
      </c>
      <c r="T229" t="str">
        <f t="shared" si="43"/>
        <v>High</v>
      </c>
      <c r="U229" t="str">
        <f t="shared" si="44"/>
        <v>Heavy Discount</v>
      </c>
      <c r="V229" t="str">
        <f t="shared" si="45"/>
        <v>Excellent Sales</v>
      </c>
      <c r="W229">
        <f t="shared" si="46"/>
        <v>99</v>
      </c>
      <c r="X229">
        <f t="shared" si="47"/>
        <v>106</v>
      </c>
      <c r="Y229">
        <f t="shared" si="48"/>
        <v>30</v>
      </c>
      <c r="Z229" t="str">
        <f t="shared" si="49"/>
        <v>Not Eligible</v>
      </c>
      <c r="AA229" t="str">
        <f t="shared" si="50"/>
        <v>Prriority Order</v>
      </c>
      <c r="AB229" t="str">
        <f t="shared" si="51"/>
        <v>Online</v>
      </c>
    </row>
    <row r="230" spans="1:28">
      <c r="A230" s="5">
        <v>10229</v>
      </c>
      <c r="B230" s="5">
        <v>1797</v>
      </c>
      <c r="C230" s="6">
        <v>44959</v>
      </c>
      <c r="D230" s="6">
        <v>44959</v>
      </c>
      <c r="E230" s="5" t="s">
        <v>82</v>
      </c>
      <c r="F230" s="5" t="s">
        <v>127</v>
      </c>
      <c r="G230" s="5" t="s">
        <v>96</v>
      </c>
      <c r="H230" s="5" t="s">
        <v>110</v>
      </c>
      <c r="I230" s="5" t="s">
        <v>115</v>
      </c>
      <c r="J230" s="5" t="s">
        <v>143</v>
      </c>
      <c r="K230" s="5" t="s">
        <v>99</v>
      </c>
      <c r="L230" s="5">
        <v>8</v>
      </c>
      <c r="M230" s="5">
        <v>3519.2</v>
      </c>
      <c r="N230" s="5">
        <v>0</v>
      </c>
      <c r="O230" s="5">
        <v>28153.6</v>
      </c>
      <c r="P230">
        <f t="shared" si="39"/>
        <v>28153.6</v>
      </c>
      <c r="Q230">
        <f t="shared" si="40"/>
        <v>0</v>
      </c>
      <c r="R230">
        <f t="shared" si="41"/>
        <v>28153.6</v>
      </c>
      <c r="S230" t="str">
        <f t="shared" si="42"/>
        <v>High</v>
      </c>
      <c r="T230" t="str">
        <f t="shared" si="43"/>
        <v>High</v>
      </c>
      <c r="U230" t="str">
        <f t="shared" si="44"/>
        <v>Normal Discount</v>
      </c>
      <c r="V230" t="str">
        <f t="shared" si="45"/>
        <v>Excellent Sales</v>
      </c>
      <c r="W230">
        <f t="shared" si="46"/>
        <v>99</v>
      </c>
      <c r="X230">
        <f t="shared" si="47"/>
        <v>106</v>
      </c>
      <c r="Y230">
        <f t="shared" si="48"/>
        <v>30</v>
      </c>
      <c r="Z230" t="str">
        <f t="shared" si="49"/>
        <v>Eligible</v>
      </c>
      <c r="AA230" t="str">
        <f t="shared" si="50"/>
        <v>Prriority Order</v>
      </c>
      <c r="AB230" t="str">
        <f t="shared" si="51"/>
        <v/>
      </c>
    </row>
    <row r="231" spans="1:28">
      <c r="A231" s="5">
        <v>10230</v>
      </c>
      <c r="B231" s="5">
        <v>1957</v>
      </c>
      <c r="C231" s="6">
        <v>45018</v>
      </c>
      <c r="D231" s="6">
        <v>45018</v>
      </c>
      <c r="E231" s="5" t="s">
        <v>103</v>
      </c>
      <c r="F231" s="5" t="s">
        <v>104</v>
      </c>
      <c r="G231" s="5" t="s">
        <v>90</v>
      </c>
      <c r="H231" s="5" t="s">
        <v>101</v>
      </c>
      <c r="I231" s="5" t="s">
        <v>132</v>
      </c>
      <c r="J231" s="5" t="s">
        <v>137</v>
      </c>
      <c r="K231" s="5" t="s">
        <v>113</v>
      </c>
      <c r="L231" s="5">
        <v>3</v>
      </c>
      <c r="M231" s="5">
        <v>3193.5</v>
      </c>
      <c r="N231" s="5">
        <v>10</v>
      </c>
      <c r="O231" s="5">
        <v>8622.45</v>
      </c>
      <c r="P231">
        <f t="shared" si="39"/>
        <v>9580.5</v>
      </c>
      <c r="Q231">
        <f t="shared" si="40"/>
        <v>958.05</v>
      </c>
      <c r="R231">
        <f t="shared" si="41"/>
        <v>8622.45</v>
      </c>
      <c r="S231" t="str">
        <f t="shared" si="42"/>
        <v>Low</v>
      </c>
      <c r="T231" t="str">
        <f t="shared" si="43"/>
        <v>Low</v>
      </c>
      <c r="U231" t="str">
        <f t="shared" si="44"/>
        <v>Heavy Discount</v>
      </c>
      <c r="V231" t="str">
        <f t="shared" si="45"/>
        <v>Excellent Sales</v>
      </c>
      <c r="W231">
        <f t="shared" si="46"/>
        <v>99</v>
      </c>
      <c r="X231">
        <f t="shared" si="47"/>
        <v>106</v>
      </c>
      <c r="Y231">
        <f t="shared" si="48"/>
        <v>30</v>
      </c>
      <c r="Z231" t="str">
        <f t="shared" si="49"/>
        <v>Not Eligible</v>
      </c>
      <c r="AA231" t="str">
        <f t="shared" si="50"/>
        <v>Prriority Order</v>
      </c>
      <c r="AB231" t="str">
        <f t="shared" si="51"/>
        <v>Online</v>
      </c>
    </row>
    <row r="232" spans="1:28">
      <c r="A232" s="5">
        <v>10231</v>
      </c>
      <c r="B232" s="5">
        <v>1330</v>
      </c>
      <c r="C232" s="6">
        <v>45083</v>
      </c>
      <c r="D232" s="6">
        <v>45083</v>
      </c>
      <c r="E232" s="5" t="s">
        <v>82</v>
      </c>
      <c r="F232" s="5" t="s">
        <v>104</v>
      </c>
      <c r="G232" s="5" t="s">
        <v>96</v>
      </c>
      <c r="H232" s="5" t="s">
        <v>91</v>
      </c>
      <c r="I232" s="5" t="s">
        <v>92</v>
      </c>
      <c r="J232" s="5" t="s">
        <v>102</v>
      </c>
      <c r="K232" s="5" t="s">
        <v>113</v>
      </c>
      <c r="L232" s="5">
        <v>7</v>
      </c>
      <c r="M232" s="5">
        <v>693.26</v>
      </c>
      <c r="N232" s="5">
        <v>20</v>
      </c>
      <c r="O232" s="5">
        <v>3882.26</v>
      </c>
      <c r="P232">
        <f t="shared" si="39"/>
        <v>4852.82</v>
      </c>
      <c r="Q232">
        <f t="shared" si="40"/>
        <v>970.564</v>
      </c>
      <c r="R232">
        <f t="shared" si="41"/>
        <v>3882.256</v>
      </c>
      <c r="S232" t="str">
        <f t="shared" si="42"/>
        <v>High</v>
      </c>
      <c r="T232" t="str">
        <f t="shared" si="43"/>
        <v>High</v>
      </c>
      <c r="U232" t="str">
        <f t="shared" si="44"/>
        <v>Heavy Discount</v>
      </c>
      <c r="V232" t="str">
        <f t="shared" si="45"/>
        <v>Average</v>
      </c>
      <c r="W232">
        <f t="shared" si="46"/>
        <v>99</v>
      </c>
      <c r="X232">
        <f t="shared" si="47"/>
        <v>106</v>
      </c>
      <c r="Y232">
        <f t="shared" si="48"/>
        <v>30</v>
      </c>
      <c r="Z232" t="str">
        <f t="shared" si="49"/>
        <v>Not Eligible</v>
      </c>
      <c r="AA232" t="str">
        <f t="shared" si="50"/>
        <v>Prriority Order</v>
      </c>
      <c r="AB232" t="str">
        <f t="shared" si="51"/>
        <v/>
      </c>
    </row>
    <row r="233" spans="1:28">
      <c r="A233" s="5">
        <v>10232</v>
      </c>
      <c r="B233" s="5">
        <v>1639</v>
      </c>
      <c r="C233" s="6">
        <v>44969</v>
      </c>
      <c r="D233" s="6">
        <v>44969</v>
      </c>
      <c r="E233" s="5" t="s">
        <v>88</v>
      </c>
      <c r="F233" s="5" t="s">
        <v>95</v>
      </c>
      <c r="G233" s="5" t="s">
        <v>83</v>
      </c>
      <c r="H233" s="5" t="s">
        <v>84</v>
      </c>
      <c r="I233" s="5" t="s">
        <v>132</v>
      </c>
      <c r="J233" s="5" t="s">
        <v>134</v>
      </c>
      <c r="K233" s="5" t="s">
        <v>87</v>
      </c>
      <c r="L233" s="5">
        <v>1</v>
      </c>
      <c r="M233" s="5">
        <v>2250.49</v>
      </c>
      <c r="N233" s="5">
        <v>15</v>
      </c>
      <c r="O233" s="5">
        <v>1912.92</v>
      </c>
      <c r="P233">
        <f t="shared" si="39"/>
        <v>2250.49</v>
      </c>
      <c r="Q233">
        <f t="shared" si="40"/>
        <v>337.5735</v>
      </c>
      <c r="R233">
        <f t="shared" si="41"/>
        <v>1912.9165</v>
      </c>
      <c r="S233" t="str">
        <f t="shared" si="42"/>
        <v>Low</v>
      </c>
      <c r="T233" t="str">
        <f t="shared" si="43"/>
        <v>Low</v>
      </c>
      <c r="U233" t="str">
        <f t="shared" si="44"/>
        <v>Heavy Discount</v>
      </c>
      <c r="V233" t="str">
        <f t="shared" si="45"/>
        <v>Average</v>
      </c>
      <c r="W233">
        <f t="shared" si="46"/>
        <v>99</v>
      </c>
      <c r="X233">
        <f t="shared" si="47"/>
        <v>106</v>
      </c>
      <c r="Y233">
        <f t="shared" si="48"/>
        <v>30</v>
      </c>
      <c r="Z233" t="str">
        <f t="shared" si="49"/>
        <v>Not Eligible</v>
      </c>
      <c r="AA233" t="str">
        <f t="shared" si="50"/>
        <v>Normal Order</v>
      </c>
      <c r="AB233" t="str">
        <f t="shared" si="51"/>
        <v>Online</v>
      </c>
    </row>
    <row r="234" spans="1:28">
      <c r="A234" s="5">
        <v>10233</v>
      </c>
      <c r="B234" s="5">
        <v>1505</v>
      </c>
      <c r="C234" s="6">
        <v>45143</v>
      </c>
      <c r="D234" s="6">
        <v>45143</v>
      </c>
      <c r="E234" s="5" t="s">
        <v>82</v>
      </c>
      <c r="F234" s="5" t="s">
        <v>107</v>
      </c>
      <c r="G234" s="5" t="s">
        <v>83</v>
      </c>
      <c r="H234" s="5" t="s">
        <v>110</v>
      </c>
      <c r="I234" s="5" t="s">
        <v>85</v>
      </c>
      <c r="J234" s="5" t="s">
        <v>129</v>
      </c>
      <c r="K234" s="5" t="s">
        <v>113</v>
      </c>
      <c r="L234" s="5">
        <v>1</v>
      </c>
      <c r="M234" s="5">
        <v>556.53</v>
      </c>
      <c r="N234" s="5">
        <v>5</v>
      </c>
      <c r="O234" s="5">
        <v>528.7</v>
      </c>
      <c r="P234">
        <f t="shared" si="39"/>
        <v>556.53</v>
      </c>
      <c r="Q234">
        <f t="shared" si="40"/>
        <v>27.8265</v>
      </c>
      <c r="R234">
        <f t="shared" si="41"/>
        <v>528.7035</v>
      </c>
      <c r="S234" t="str">
        <f t="shared" si="42"/>
        <v>Low</v>
      </c>
      <c r="T234" t="str">
        <f t="shared" si="43"/>
        <v>Low</v>
      </c>
      <c r="U234" t="str">
        <f t="shared" si="44"/>
        <v>Heavy Discount</v>
      </c>
      <c r="V234" t="str">
        <f t="shared" si="45"/>
        <v>Average</v>
      </c>
      <c r="W234">
        <f t="shared" si="46"/>
        <v>99</v>
      </c>
      <c r="X234">
        <f t="shared" si="47"/>
        <v>106</v>
      </c>
      <c r="Y234">
        <f t="shared" si="48"/>
        <v>30</v>
      </c>
      <c r="Z234" t="str">
        <f t="shared" si="49"/>
        <v>Not Eligible</v>
      </c>
      <c r="AA234" t="str">
        <f t="shared" si="50"/>
        <v>Normal Order</v>
      </c>
      <c r="AB234" t="str">
        <f t="shared" si="51"/>
        <v>Online</v>
      </c>
    </row>
    <row r="235" spans="1:28">
      <c r="A235" s="5">
        <v>10234</v>
      </c>
      <c r="B235" s="5">
        <v>1347</v>
      </c>
      <c r="C235" s="6">
        <v>45295</v>
      </c>
      <c r="D235" s="6">
        <v>45295</v>
      </c>
      <c r="E235" s="5" t="s">
        <v>103</v>
      </c>
      <c r="F235" s="5" t="s">
        <v>82</v>
      </c>
      <c r="G235" s="5" t="s">
        <v>96</v>
      </c>
      <c r="H235" s="5" t="s">
        <v>110</v>
      </c>
      <c r="I235" s="5" t="s">
        <v>97</v>
      </c>
      <c r="J235" s="5" t="s">
        <v>114</v>
      </c>
      <c r="K235" s="5" t="s">
        <v>99</v>
      </c>
      <c r="L235" s="5">
        <v>7</v>
      </c>
      <c r="M235" s="5">
        <v>324.38</v>
      </c>
      <c r="N235" s="5">
        <v>10</v>
      </c>
      <c r="O235" s="5">
        <v>2043.59</v>
      </c>
      <c r="P235">
        <f t="shared" si="39"/>
        <v>2270.66</v>
      </c>
      <c r="Q235">
        <f t="shared" si="40"/>
        <v>227.066</v>
      </c>
      <c r="R235">
        <f t="shared" si="41"/>
        <v>2043.594</v>
      </c>
      <c r="S235" t="str">
        <f t="shared" si="42"/>
        <v>High</v>
      </c>
      <c r="T235" t="str">
        <f t="shared" si="43"/>
        <v>High</v>
      </c>
      <c r="U235" t="str">
        <f t="shared" si="44"/>
        <v>Heavy Discount</v>
      </c>
      <c r="V235" t="str">
        <f t="shared" si="45"/>
        <v>Average</v>
      </c>
      <c r="W235">
        <f t="shared" si="46"/>
        <v>99</v>
      </c>
      <c r="X235">
        <f t="shared" si="47"/>
        <v>106</v>
      </c>
      <c r="Y235">
        <f t="shared" si="48"/>
        <v>30</v>
      </c>
      <c r="Z235" t="str">
        <f t="shared" si="49"/>
        <v>Not Eligible</v>
      </c>
      <c r="AA235" t="str">
        <f t="shared" si="50"/>
        <v>Prriority Order</v>
      </c>
      <c r="AB235" t="str">
        <f t="shared" si="51"/>
        <v/>
      </c>
    </row>
    <row r="236" spans="1:28">
      <c r="A236" s="5">
        <v>10235</v>
      </c>
      <c r="B236" s="5">
        <v>1472</v>
      </c>
      <c r="C236" s="6">
        <v>45040</v>
      </c>
      <c r="D236" s="6">
        <v>45040</v>
      </c>
      <c r="E236" s="5" t="s">
        <v>106</v>
      </c>
      <c r="F236" s="5" t="s">
        <v>95</v>
      </c>
      <c r="G236" s="5" t="s">
        <v>83</v>
      </c>
      <c r="H236" s="5" t="s">
        <v>101</v>
      </c>
      <c r="I236" s="5" t="s">
        <v>123</v>
      </c>
      <c r="J236" s="5" t="s">
        <v>135</v>
      </c>
      <c r="K236" s="5" t="s">
        <v>113</v>
      </c>
      <c r="L236" s="5">
        <v>9</v>
      </c>
      <c r="M236" s="5">
        <v>2677.09</v>
      </c>
      <c r="N236" s="5">
        <v>10</v>
      </c>
      <c r="O236" s="5">
        <v>21684.43</v>
      </c>
      <c r="P236">
        <f t="shared" si="39"/>
        <v>24093.81</v>
      </c>
      <c r="Q236">
        <f t="shared" si="40"/>
        <v>2409.381</v>
      </c>
      <c r="R236">
        <f t="shared" si="41"/>
        <v>21684.429</v>
      </c>
      <c r="S236" t="str">
        <f t="shared" si="42"/>
        <v>High</v>
      </c>
      <c r="T236" t="str">
        <f t="shared" si="43"/>
        <v>High</v>
      </c>
      <c r="U236" t="str">
        <f t="shared" si="44"/>
        <v>Heavy Discount</v>
      </c>
      <c r="V236" t="str">
        <f t="shared" si="45"/>
        <v>Excellent Sales</v>
      </c>
      <c r="W236">
        <f t="shared" si="46"/>
        <v>99</v>
      </c>
      <c r="X236">
        <f t="shared" si="47"/>
        <v>106</v>
      </c>
      <c r="Y236">
        <f t="shared" si="48"/>
        <v>30</v>
      </c>
      <c r="Z236" t="str">
        <f t="shared" si="49"/>
        <v>Not Eligible</v>
      </c>
      <c r="AA236" t="str">
        <f t="shared" si="50"/>
        <v>Prriority Order</v>
      </c>
      <c r="AB236" t="str">
        <f t="shared" si="51"/>
        <v>Online</v>
      </c>
    </row>
    <row r="237" spans="1:28">
      <c r="A237" s="5">
        <v>10236</v>
      </c>
      <c r="B237" s="5">
        <v>1230</v>
      </c>
      <c r="C237" s="6">
        <v>45269</v>
      </c>
      <c r="D237" s="6">
        <v>45269</v>
      </c>
      <c r="E237" s="5" t="s">
        <v>88</v>
      </c>
      <c r="F237" s="5" t="s">
        <v>82</v>
      </c>
      <c r="G237" s="5" t="s">
        <v>96</v>
      </c>
      <c r="H237" s="5" t="s">
        <v>91</v>
      </c>
      <c r="I237" s="5" t="s">
        <v>123</v>
      </c>
      <c r="J237" s="5" t="s">
        <v>135</v>
      </c>
      <c r="K237" s="5" t="s">
        <v>99</v>
      </c>
      <c r="L237" s="5">
        <v>7</v>
      </c>
      <c r="M237" s="5">
        <v>2210.34</v>
      </c>
      <c r="N237" s="5">
        <v>5</v>
      </c>
      <c r="O237" s="5">
        <v>14698.76</v>
      </c>
      <c r="P237">
        <f t="shared" si="39"/>
        <v>15472.38</v>
      </c>
      <c r="Q237">
        <f t="shared" si="40"/>
        <v>773.619</v>
      </c>
      <c r="R237">
        <f t="shared" si="41"/>
        <v>14698.761</v>
      </c>
      <c r="S237" t="str">
        <f t="shared" si="42"/>
        <v>High</v>
      </c>
      <c r="T237" t="str">
        <f t="shared" si="43"/>
        <v>High</v>
      </c>
      <c r="U237" t="str">
        <f t="shared" si="44"/>
        <v>Heavy Discount</v>
      </c>
      <c r="V237" t="str">
        <f t="shared" si="45"/>
        <v>Excellent Sales</v>
      </c>
      <c r="W237">
        <f t="shared" si="46"/>
        <v>99</v>
      </c>
      <c r="X237">
        <f t="shared" si="47"/>
        <v>106</v>
      </c>
      <c r="Y237">
        <f t="shared" si="48"/>
        <v>30</v>
      </c>
      <c r="Z237" t="str">
        <f t="shared" si="49"/>
        <v>Not Eligible</v>
      </c>
      <c r="AA237" t="str">
        <f t="shared" si="50"/>
        <v>Prriority Order</v>
      </c>
      <c r="AB237" t="str">
        <f t="shared" si="51"/>
        <v/>
      </c>
    </row>
    <row r="238" spans="1:28">
      <c r="A238" s="5">
        <v>10237</v>
      </c>
      <c r="B238" s="5">
        <v>1189</v>
      </c>
      <c r="C238" s="6">
        <v>45147</v>
      </c>
      <c r="D238" s="6">
        <v>45147</v>
      </c>
      <c r="E238" s="5" t="s">
        <v>82</v>
      </c>
      <c r="F238" s="5" t="s">
        <v>107</v>
      </c>
      <c r="G238" s="5" t="s">
        <v>83</v>
      </c>
      <c r="H238" s="5" t="s">
        <v>91</v>
      </c>
      <c r="I238" s="5" t="s">
        <v>85</v>
      </c>
      <c r="J238" s="5" t="s">
        <v>86</v>
      </c>
      <c r="K238" s="5" t="s">
        <v>87</v>
      </c>
      <c r="L238" s="5">
        <v>5</v>
      </c>
      <c r="M238" s="5">
        <v>465.79</v>
      </c>
      <c r="N238" s="5">
        <v>5</v>
      </c>
      <c r="O238" s="5">
        <v>2212.5</v>
      </c>
      <c r="P238">
        <f t="shared" si="39"/>
        <v>2328.95</v>
      </c>
      <c r="Q238">
        <f t="shared" si="40"/>
        <v>116.4475</v>
      </c>
      <c r="R238">
        <f t="shared" si="41"/>
        <v>2212.5025</v>
      </c>
      <c r="S238" t="str">
        <f t="shared" si="42"/>
        <v>High</v>
      </c>
      <c r="T238" t="str">
        <f t="shared" si="43"/>
        <v>Medium</v>
      </c>
      <c r="U238" t="str">
        <f t="shared" si="44"/>
        <v>Heavy Discount</v>
      </c>
      <c r="V238" t="str">
        <f t="shared" si="45"/>
        <v>Average</v>
      </c>
      <c r="W238">
        <f t="shared" si="46"/>
        <v>99</v>
      </c>
      <c r="X238">
        <f t="shared" si="47"/>
        <v>106</v>
      </c>
      <c r="Y238">
        <f t="shared" si="48"/>
        <v>30</v>
      </c>
      <c r="Z238" t="str">
        <f t="shared" si="49"/>
        <v>Not Eligible</v>
      </c>
      <c r="AA238" t="str">
        <f t="shared" si="50"/>
        <v>Normal Order</v>
      </c>
      <c r="AB238" t="str">
        <f t="shared" si="51"/>
        <v>Online</v>
      </c>
    </row>
    <row r="239" spans="1:28">
      <c r="A239" s="5">
        <v>10238</v>
      </c>
      <c r="B239" s="5">
        <v>1224</v>
      </c>
      <c r="C239" s="6">
        <v>45093</v>
      </c>
      <c r="D239" s="6">
        <v>45093</v>
      </c>
      <c r="E239" s="5" t="s">
        <v>100</v>
      </c>
      <c r="F239" s="5" t="s">
        <v>104</v>
      </c>
      <c r="G239" s="5" t="s">
        <v>90</v>
      </c>
      <c r="H239" s="5" t="s">
        <v>101</v>
      </c>
      <c r="I239" s="5" t="s">
        <v>132</v>
      </c>
      <c r="J239" s="5" t="s">
        <v>137</v>
      </c>
      <c r="K239" s="5" t="s">
        <v>111</v>
      </c>
      <c r="L239" s="5">
        <v>8</v>
      </c>
      <c r="M239" s="5">
        <v>284.52</v>
      </c>
      <c r="N239" s="5">
        <v>15</v>
      </c>
      <c r="O239" s="5">
        <v>1934.74</v>
      </c>
      <c r="P239">
        <f t="shared" si="39"/>
        <v>2276.16</v>
      </c>
      <c r="Q239">
        <f t="shared" si="40"/>
        <v>341.424</v>
      </c>
      <c r="R239">
        <f t="shared" si="41"/>
        <v>1934.736</v>
      </c>
      <c r="S239" t="str">
        <f t="shared" si="42"/>
        <v>High</v>
      </c>
      <c r="T239" t="str">
        <f t="shared" si="43"/>
        <v>High</v>
      </c>
      <c r="U239" t="str">
        <f t="shared" si="44"/>
        <v>Heavy Discount</v>
      </c>
      <c r="V239" t="str">
        <f t="shared" si="45"/>
        <v>Average</v>
      </c>
      <c r="W239">
        <f t="shared" si="46"/>
        <v>99</v>
      </c>
      <c r="X239">
        <f t="shared" si="47"/>
        <v>106</v>
      </c>
      <c r="Y239">
        <f t="shared" si="48"/>
        <v>30</v>
      </c>
      <c r="Z239" t="str">
        <f t="shared" si="49"/>
        <v>Not Eligible</v>
      </c>
      <c r="AA239" t="str">
        <f t="shared" si="50"/>
        <v>Prriority Order</v>
      </c>
      <c r="AB239" t="str">
        <f t="shared" si="51"/>
        <v>Online</v>
      </c>
    </row>
    <row r="240" spans="1:28">
      <c r="A240" s="5">
        <v>10239</v>
      </c>
      <c r="B240" s="5">
        <v>1384</v>
      </c>
      <c r="C240" s="6">
        <v>45149</v>
      </c>
      <c r="D240" s="6">
        <v>45149</v>
      </c>
      <c r="E240" s="5" t="s">
        <v>100</v>
      </c>
      <c r="F240" s="5" t="s">
        <v>107</v>
      </c>
      <c r="G240" s="5" t="s">
        <v>90</v>
      </c>
      <c r="H240" s="5" t="s">
        <v>91</v>
      </c>
      <c r="I240" s="5" t="s">
        <v>115</v>
      </c>
      <c r="J240" s="5" t="s">
        <v>138</v>
      </c>
      <c r="K240" s="5" t="s">
        <v>113</v>
      </c>
      <c r="L240" s="5">
        <v>2</v>
      </c>
      <c r="M240" s="5">
        <v>3960.56</v>
      </c>
      <c r="N240" s="5">
        <v>10</v>
      </c>
      <c r="O240" s="5">
        <v>7129.01</v>
      </c>
      <c r="P240">
        <f t="shared" si="39"/>
        <v>7921.12</v>
      </c>
      <c r="Q240">
        <f t="shared" si="40"/>
        <v>792.112</v>
      </c>
      <c r="R240">
        <f t="shared" si="41"/>
        <v>7129.008</v>
      </c>
      <c r="S240" t="str">
        <f t="shared" si="42"/>
        <v>Low</v>
      </c>
      <c r="T240" t="str">
        <f t="shared" si="43"/>
        <v>Low</v>
      </c>
      <c r="U240" t="str">
        <f t="shared" si="44"/>
        <v>Heavy Discount</v>
      </c>
      <c r="V240" t="str">
        <f t="shared" si="45"/>
        <v>Excellent Sales</v>
      </c>
      <c r="W240">
        <f t="shared" si="46"/>
        <v>99</v>
      </c>
      <c r="X240">
        <f t="shared" si="47"/>
        <v>106</v>
      </c>
      <c r="Y240">
        <f t="shared" si="48"/>
        <v>30</v>
      </c>
      <c r="Z240" t="str">
        <f t="shared" si="49"/>
        <v>Not Eligible</v>
      </c>
      <c r="AA240" t="str">
        <f t="shared" si="50"/>
        <v>Prriority Order</v>
      </c>
      <c r="AB240" t="str">
        <f t="shared" si="51"/>
        <v>Online</v>
      </c>
    </row>
    <row r="241" spans="1:28">
      <c r="A241" s="5">
        <v>10240</v>
      </c>
      <c r="B241" s="5">
        <v>1376</v>
      </c>
      <c r="C241" s="6">
        <v>45198</v>
      </c>
      <c r="D241" s="6">
        <v>45198</v>
      </c>
      <c r="E241" s="5" t="s">
        <v>82</v>
      </c>
      <c r="F241" s="5" t="s">
        <v>104</v>
      </c>
      <c r="G241" s="5" t="s">
        <v>83</v>
      </c>
      <c r="H241" s="5" t="s">
        <v>108</v>
      </c>
      <c r="I241" s="5" t="s">
        <v>132</v>
      </c>
      <c r="J241" s="5" t="s">
        <v>142</v>
      </c>
      <c r="K241" s="5" t="s">
        <v>111</v>
      </c>
      <c r="L241" s="5">
        <v>9</v>
      </c>
      <c r="M241" s="5">
        <v>265.58</v>
      </c>
      <c r="N241" s="5">
        <v>10</v>
      </c>
      <c r="O241" s="5">
        <v>2151.2</v>
      </c>
      <c r="P241">
        <f t="shared" si="39"/>
        <v>2390.22</v>
      </c>
      <c r="Q241">
        <f t="shared" si="40"/>
        <v>239.022</v>
      </c>
      <c r="R241">
        <f t="shared" si="41"/>
        <v>2151.198</v>
      </c>
      <c r="S241" t="str">
        <f t="shared" si="42"/>
        <v>High</v>
      </c>
      <c r="T241" t="str">
        <f t="shared" si="43"/>
        <v>High</v>
      </c>
      <c r="U241" t="str">
        <f t="shared" si="44"/>
        <v>Heavy Discount</v>
      </c>
      <c r="V241" t="str">
        <f t="shared" si="45"/>
        <v>Average</v>
      </c>
      <c r="W241">
        <f t="shared" si="46"/>
        <v>99</v>
      </c>
      <c r="X241">
        <f t="shared" si="47"/>
        <v>106</v>
      </c>
      <c r="Y241">
        <f t="shared" si="48"/>
        <v>29</v>
      </c>
      <c r="Z241" t="str">
        <f t="shared" si="49"/>
        <v>Not Eligible</v>
      </c>
      <c r="AA241" t="str">
        <f t="shared" si="50"/>
        <v>Prriority Order</v>
      </c>
      <c r="AB241" t="str">
        <f t="shared" si="51"/>
        <v>Online</v>
      </c>
    </row>
    <row r="242" spans="1:28">
      <c r="A242" s="5">
        <v>10241</v>
      </c>
      <c r="B242" s="5">
        <v>1282</v>
      </c>
      <c r="C242" s="6">
        <v>45049</v>
      </c>
      <c r="D242" s="6">
        <v>45049</v>
      </c>
      <c r="E242" s="5" t="s">
        <v>106</v>
      </c>
      <c r="F242" s="5" t="s">
        <v>107</v>
      </c>
      <c r="G242" s="5" t="s">
        <v>96</v>
      </c>
      <c r="H242" s="5" t="s">
        <v>84</v>
      </c>
      <c r="I242" s="5" t="s">
        <v>85</v>
      </c>
      <c r="J242" s="5" t="s">
        <v>141</v>
      </c>
      <c r="K242" s="5" t="s">
        <v>99</v>
      </c>
      <c r="L242" s="5">
        <v>6</v>
      </c>
      <c r="M242" s="5">
        <v>1861.43</v>
      </c>
      <c r="N242" s="5">
        <v>0</v>
      </c>
      <c r="O242" s="5">
        <v>11168.58</v>
      </c>
      <c r="P242">
        <f t="shared" si="39"/>
        <v>11168.58</v>
      </c>
      <c r="Q242">
        <f t="shared" si="40"/>
        <v>0</v>
      </c>
      <c r="R242">
        <f t="shared" si="41"/>
        <v>11168.58</v>
      </c>
      <c r="S242" t="str">
        <f t="shared" si="42"/>
        <v>High</v>
      </c>
      <c r="T242" t="str">
        <f t="shared" si="43"/>
        <v>High</v>
      </c>
      <c r="U242" t="str">
        <f t="shared" si="44"/>
        <v>Normal Discount</v>
      </c>
      <c r="V242" t="str">
        <f t="shared" si="45"/>
        <v>Excellent Sales</v>
      </c>
      <c r="W242">
        <f t="shared" si="46"/>
        <v>99</v>
      </c>
      <c r="X242">
        <f t="shared" si="47"/>
        <v>106</v>
      </c>
      <c r="Y242">
        <f t="shared" si="48"/>
        <v>29</v>
      </c>
      <c r="Z242" t="str">
        <f t="shared" si="49"/>
        <v>Eligible</v>
      </c>
      <c r="AA242" t="str">
        <f t="shared" si="50"/>
        <v>Prriority Order</v>
      </c>
      <c r="AB242" t="str">
        <f t="shared" si="51"/>
        <v/>
      </c>
    </row>
    <row r="243" spans="1:28">
      <c r="A243" s="5">
        <v>10242</v>
      </c>
      <c r="B243" s="5">
        <v>1957</v>
      </c>
      <c r="C243" s="6">
        <v>45263</v>
      </c>
      <c r="D243" s="6">
        <v>45263</v>
      </c>
      <c r="E243" s="5" t="s">
        <v>81</v>
      </c>
      <c r="F243" s="5" t="s">
        <v>95</v>
      </c>
      <c r="G243" s="5" t="s">
        <v>90</v>
      </c>
      <c r="H243" s="5" t="s">
        <v>110</v>
      </c>
      <c r="I243" s="5" t="s">
        <v>123</v>
      </c>
      <c r="J243" s="5" t="s">
        <v>139</v>
      </c>
      <c r="K243" s="5" t="s">
        <v>113</v>
      </c>
      <c r="L243" s="5">
        <v>9</v>
      </c>
      <c r="M243" s="5">
        <v>2092.78</v>
      </c>
      <c r="N243" s="5">
        <v>20</v>
      </c>
      <c r="O243" s="5">
        <v>15068.02</v>
      </c>
      <c r="P243">
        <f t="shared" si="39"/>
        <v>18835.02</v>
      </c>
      <c r="Q243">
        <f t="shared" si="40"/>
        <v>3767.004</v>
      </c>
      <c r="R243">
        <f t="shared" si="41"/>
        <v>15068.016</v>
      </c>
      <c r="S243" t="str">
        <f t="shared" si="42"/>
        <v>High</v>
      </c>
      <c r="T243" t="str">
        <f t="shared" si="43"/>
        <v>High</v>
      </c>
      <c r="U243" t="str">
        <f t="shared" si="44"/>
        <v>Heavy Discount</v>
      </c>
      <c r="V243" t="str">
        <f t="shared" si="45"/>
        <v>Excellent Sales</v>
      </c>
      <c r="W243">
        <f t="shared" si="46"/>
        <v>99</v>
      </c>
      <c r="X243">
        <f t="shared" si="47"/>
        <v>106</v>
      </c>
      <c r="Y243">
        <f t="shared" si="48"/>
        <v>29</v>
      </c>
      <c r="Z243" t="str">
        <f t="shared" si="49"/>
        <v>Not Eligible</v>
      </c>
      <c r="AA243" t="str">
        <f t="shared" si="50"/>
        <v>Prriority Order</v>
      </c>
      <c r="AB243" t="str">
        <f t="shared" si="51"/>
        <v>Online</v>
      </c>
    </row>
    <row r="244" spans="1:28">
      <c r="A244" s="5">
        <v>10243</v>
      </c>
      <c r="B244" s="5">
        <v>1632</v>
      </c>
      <c r="C244" s="6">
        <v>45109</v>
      </c>
      <c r="D244" s="6">
        <v>45109</v>
      </c>
      <c r="E244" s="5" t="s">
        <v>103</v>
      </c>
      <c r="F244" s="5" t="s">
        <v>89</v>
      </c>
      <c r="G244" s="5" t="s">
        <v>96</v>
      </c>
      <c r="H244" s="5" t="s">
        <v>84</v>
      </c>
      <c r="I244" s="5" t="s">
        <v>132</v>
      </c>
      <c r="J244" s="5" t="s">
        <v>134</v>
      </c>
      <c r="K244" s="5" t="s">
        <v>94</v>
      </c>
      <c r="L244" s="5">
        <v>2</v>
      </c>
      <c r="M244" s="5">
        <v>601.53</v>
      </c>
      <c r="N244" s="5">
        <v>20</v>
      </c>
      <c r="O244" s="5">
        <v>962.45</v>
      </c>
      <c r="P244">
        <f t="shared" si="39"/>
        <v>1203.06</v>
      </c>
      <c r="Q244">
        <f t="shared" si="40"/>
        <v>240.612</v>
      </c>
      <c r="R244">
        <f t="shared" si="41"/>
        <v>962.448</v>
      </c>
      <c r="S244" t="str">
        <f t="shared" si="42"/>
        <v>Low</v>
      </c>
      <c r="T244" t="str">
        <f t="shared" si="43"/>
        <v>Low</v>
      </c>
      <c r="U244" t="str">
        <f t="shared" si="44"/>
        <v>Heavy Discount</v>
      </c>
      <c r="V244" t="str">
        <f t="shared" si="45"/>
        <v>Average</v>
      </c>
      <c r="W244">
        <f t="shared" si="46"/>
        <v>99</v>
      </c>
      <c r="X244">
        <f t="shared" si="47"/>
        <v>106</v>
      </c>
      <c r="Y244">
        <f t="shared" si="48"/>
        <v>29</v>
      </c>
      <c r="Z244" t="str">
        <f t="shared" si="49"/>
        <v>Not Eligible</v>
      </c>
      <c r="AA244" t="str">
        <f t="shared" si="50"/>
        <v>Normal Order</v>
      </c>
      <c r="AB244" t="str">
        <f t="shared" si="51"/>
        <v/>
      </c>
    </row>
    <row r="245" spans="1:28">
      <c r="A245" s="5">
        <v>10244</v>
      </c>
      <c r="B245" s="5">
        <v>1627</v>
      </c>
      <c r="C245" s="6">
        <v>45038</v>
      </c>
      <c r="D245" s="6">
        <v>45038</v>
      </c>
      <c r="E245" s="5" t="s">
        <v>100</v>
      </c>
      <c r="F245" s="5" t="s">
        <v>95</v>
      </c>
      <c r="G245" s="5" t="s">
        <v>83</v>
      </c>
      <c r="H245" s="5" t="s">
        <v>110</v>
      </c>
      <c r="I245" s="5" t="s">
        <v>123</v>
      </c>
      <c r="J245" s="5" t="s">
        <v>124</v>
      </c>
      <c r="K245" s="5" t="s">
        <v>111</v>
      </c>
      <c r="L245" s="5">
        <v>3</v>
      </c>
      <c r="M245" s="5">
        <v>800.89</v>
      </c>
      <c r="N245" s="5">
        <v>0</v>
      </c>
      <c r="O245" s="5">
        <v>2402.67</v>
      </c>
      <c r="P245">
        <f t="shared" si="39"/>
        <v>2402.67</v>
      </c>
      <c r="Q245">
        <f t="shared" si="40"/>
        <v>0</v>
      </c>
      <c r="R245">
        <f t="shared" si="41"/>
        <v>2402.67</v>
      </c>
      <c r="S245" t="str">
        <f t="shared" si="42"/>
        <v>Low</v>
      </c>
      <c r="T245" t="str">
        <f t="shared" si="43"/>
        <v>Low</v>
      </c>
      <c r="U245" t="str">
        <f t="shared" si="44"/>
        <v>Normal Discount</v>
      </c>
      <c r="V245" t="str">
        <f t="shared" si="45"/>
        <v>Average</v>
      </c>
      <c r="W245">
        <f t="shared" si="46"/>
        <v>99</v>
      </c>
      <c r="X245">
        <f t="shared" si="47"/>
        <v>106</v>
      </c>
      <c r="Y245">
        <f t="shared" si="48"/>
        <v>29</v>
      </c>
      <c r="Z245" t="str">
        <f t="shared" si="49"/>
        <v>Eligible</v>
      </c>
      <c r="AA245" t="str">
        <f t="shared" si="50"/>
        <v>Normal Order</v>
      </c>
      <c r="AB245" t="str">
        <f t="shared" si="51"/>
        <v>Online</v>
      </c>
    </row>
    <row r="246" spans="1:28">
      <c r="A246" s="5">
        <v>10245</v>
      </c>
      <c r="B246" s="5">
        <v>1972</v>
      </c>
      <c r="C246" s="6">
        <v>45148</v>
      </c>
      <c r="D246" s="6">
        <v>45148</v>
      </c>
      <c r="E246" s="5" t="s">
        <v>81</v>
      </c>
      <c r="F246" s="5" t="s">
        <v>82</v>
      </c>
      <c r="G246" s="5" t="s">
        <v>96</v>
      </c>
      <c r="H246" s="5" t="s">
        <v>108</v>
      </c>
      <c r="I246" s="5" t="s">
        <v>115</v>
      </c>
      <c r="J246" s="5" t="s">
        <v>119</v>
      </c>
      <c r="K246" s="5" t="s">
        <v>113</v>
      </c>
      <c r="L246" s="5">
        <v>8</v>
      </c>
      <c r="M246" s="5">
        <v>1504.45</v>
      </c>
      <c r="N246" s="5">
        <v>20</v>
      </c>
      <c r="O246" s="5">
        <v>9628.48</v>
      </c>
      <c r="P246">
        <f t="shared" si="39"/>
        <v>12035.6</v>
      </c>
      <c r="Q246">
        <f t="shared" si="40"/>
        <v>2407.12</v>
      </c>
      <c r="R246">
        <f t="shared" si="41"/>
        <v>9628.48</v>
      </c>
      <c r="S246" t="str">
        <f t="shared" si="42"/>
        <v>High</v>
      </c>
      <c r="T246" t="str">
        <f t="shared" si="43"/>
        <v>High</v>
      </c>
      <c r="U246" t="str">
        <f t="shared" si="44"/>
        <v>Heavy Discount</v>
      </c>
      <c r="V246" t="str">
        <f t="shared" si="45"/>
        <v>Excellent Sales</v>
      </c>
      <c r="W246">
        <f t="shared" si="46"/>
        <v>99</v>
      </c>
      <c r="X246">
        <f t="shared" si="47"/>
        <v>106</v>
      </c>
      <c r="Y246">
        <f t="shared" si="48"/>
        <v>29</v>
      </c>
      <c r="Z246" t="str">
        <f t="shared" si="49"/>
        <v>Not Eligible</v>
      </c>
      <c r="AA246" t="str">
        <f t="shared" si="50"/>
        <v>Prriority Order</v>
      </c>
      <c r="AB246" t="str">
        <f t="shared" si="51"/>
        <v/>
      </c>
    </row>
    <row r="247" spans="1:28">
      <c r="A247" s="5">
        <v>10246</v>
      </c>
      <c r="B247" s="5">
        <v>1744</v>
      </c>
      <c r="C247" s="6">
        <v>45139</v>
      </c>
      <c r="D247" s="6">
        <v>45139</v>
      </c>
      <c r="E247" s="5" t="s">
        <v>82</v>
      </c>
      <c r="F247" s="5" t="s">
        <v>95</v>
      </c>
      <c r="G247" s="5" t="s">
        <v>90</v>
      </c>
      <c r="H247" s="5" t="s">
        <v>91</v>
      </c>
      <c r="I247" s="5" t="s">
        <v>123</v>
      </c>
      <c r="J247" s="5" t="s">
        <v>124</v>
      </c>
      <c r="K247" s="5" t="s">
        <v>111</v>
      </c>
      <c r="L247" s="5">
        <v>1</v>
      </c>
      <c r="M247" s="5">
        <v>3082.45</v>
      </c>
      <c r="N247" s="5">
        <v>5</v>
      </c>
      <c r="O247" s="5">
        <v>2928.33</v>
      </c>
      <c r="P247">
        <f t="shared" si="39"/>
        <v>3082.45</v>
      </c>
      <c r="Q247">
        <f t="shared" si="40"/>
        <v>154.1225</v>
      </c>
      <c r="R247">
        <f t="shared" si="41"/>
        <v>2928.3275</v>
      </c>
      <c r="S247" t="str">
        <f t="shared" si="42"/>
        <v>Low</v>
      </c>
      <c r="T247" t="str">
        <f t="shared" si="43"/>
        <v>Low</v>
      </c>
      <c r="U247" t="str">
        <f t="shared" si="44"/>
        <v>Heavy Discount</v>
      </c>
      <c r="V247" t="str">
        <f t="shared" si="45"/>
        <v>Average</v>
      </c>
      <c r="W247">
        <f t="shared" si="46"/>
        <v>99</v>
      </c>
      <c r="X247">
        <f t="shared" si="47"/>
        <v>106</v>
      </c>
      <c r="Y247">
        <f t="shared" si="48"/>
        <v>29</v>
      </c>
      <c r="Z247" t="str">
        <f t="shared" si="49"/>
        <v>Not Eligible</v>
      </c>
      <c r="AA247" t="str">
        <f t="shared" si="50"/>
        <v>Normal Order</v>
      </c>
      <c r="AB247" t="str">
        <f t="shared" si="51"/>
        <v>Online</v>
      </c>
    </row>
    <row r="248" spans="1:28">
      <c r="A248" s="5">
        <v>10247</v>
      </c>
      <c r="B248" s="5">
        <v>1258</v>
      </c>
      <c r="C248" s="6">
        <v>44998</v>
      </c>
      <c r="D248" s="6">
        <v>44998</v>
      </c>
      <c r="E248" s="5" t="s">
        <v>81</v>
      </c>
      <c r="F248" s="5" t="s">
        <v>127</v>
      </c>
      <c r="G248" s="5" t="s">
        <v>96</v>
      </c>
      <c r="H248" s="5" t="s">
        <v>101</v>
      </c>
      <c r="I248" s="5" t="s">
        <v>123</v>
      </c>
      <c r="J248" s="5" t="s">
        <v>139</v>
      </c>
      <c r="K248" s="5" t="s">
        <v>113</v>
      </c>
      <c r="L248" s="5">
        <v>7</v>
      </c>
      <c r="M248" s="5">
        <v>2102.27</v>
      </c>
      <c r="N248" s="5">
        <v>20</v>
      </c>
      <c r="O248" s="5">
        <v>11772.71</v>
      </c>
      <c r="P248">
        <f t="shared" si="39"/>
        <v>14715.89</v>
      </c>
      <c r="Q248">
        <f t="shared" si="40"/>
        <v>2943.178</v>
      </c>
      <c r="R248">
        <f t="shared" si="41"/>
        <v>11772.712</v>
      </c>
      <c r="S248" t="str">
        <f t="shared" si="42"/>
        <v>High</v>
      </c>
      <c r="T248" t="str">
        <f t="shared" si="43"/>
        <v>High</v>
      </c>
      <c r="U248" t="str">
        <f t="shared" si="44"/>
        <v>Heavy Discount</v>
      </c>
      <c r="V248" t="str">
        <f t="shared" si="45"/>
        <v>Excellent Sales</v>
      </c>
      <c r="W248">
        <f t="shared" si="46"/>
        <v>99</v>
      </c>
      <c r="X248">
        <f t="shared" si="47"/>
        <v>106</v>
      </c>
      <c r="Y248">
        <f t="shared" si="48"/>
        <v>29</v>
      </c>
      <c r="Z248" t="str">
        <f t="shared" si="49"/>
        <v>Not Eligible</v>
      </c>
      <c r="AA248" t="str">
        <f t="shared" si="50"/>
        <v>Prriority Order</v>
      </c>
      <c r="AB248" t="str">
        <f t="shared" si="51"/>
        <v/>
      </c>
    </row>
    <row r="249" spans="1:28">
      <c r="A249" s="5">
        <v>10248</v>
      </c>
      <c r="B249" s="5">
        <v>1358</v>
      </c>
      <c r="C249" s="6">
        <v>44974</v>
      </c>
      <c r="D249" s="6">
        <v>44974</v>
      </c>
      <c r="E249" s="5" t="s">
        <v>88</v>
      </c>
      <c r="F249" s="5" t="s">
        <v>82</v>
      </c>
      <c r="G249" s="5" t="s">
        <v>96</v>
      </c>
      <c r="H249" s="5" t="s">
        <v>108</v>
      </c>
      <c r="I249" s="5" t="s">
        <v>97</v>
      </c>
      <c r="J249" s="5" t="s">
        <v>105</v>
      </c>
      <c r="K249" s="5" t="s">
        <v>87</v>
      </c>
      <c r="L249" s="5">
        <v>7</v>
      </c>
      <c r="M249" s="5">
        <v>2605.92</v>
      </c>
      <c r="N249" s="5">
        <v>20</v>
      </c>
      <c r="O249" s="5">
        <v>14593.15</v>
      </c>
      <c r="P249">
        <f t="shared" si="39"/>
        <v>18241.44</v>
      </c>
      <c r="Q249">
        <f t="shared" si="40"/>
        <v>3648.288</v>
      </c>
      <c r="R249">
        <f t="shared" si="41"/>
        <v>14593.152</v>
      </c>
      <c r="S249" t="str">
        <f t="shared" si="42"/>
        <v>High</v>
      </c>
      <c r="T249" t="str">
        <f t="shared" si="43"/>
        <v>High</v>
      </c>
      <c r="U249" t="str">
        <f t="shared" si="44"/>
        <v>Heavy Discount</v>
      </c>
      <c r="V249" t="str">
        <f t="shared" si="45"/>
        <v>Excellent Sales</v>
      </c>
      <c r="W249">
        <f t="shared" si="46"/>
        <v>99</v>
      </c>
      <c r="X249">
        <f t="shared" si="47"/>
        <v>106</v>
      </c>
      <c r="Y249">
        <f t="shared" si="48"/>
        <v>29</v>
      </c>
      <c r="Z249" t="str">
        <f t="shared" si="49"/>
        <v>Not Eligible</v>
      </c>
      <c r="AA249" t="str">
        <f t="shared" si="50"/>
        <v>Prriority Order</v>
      </c>
      <c r="AB249" t="str">
        <f t="shared" si="51"/>
        <v/>
      </c>
    </row>
    <row r="250" spans="1:28">
      <c r="A250" s="5">
        <v>10249</v>
      </c>
      <c r="B250" s="5">
        <v>1709</v>
      </c>
      <c r="C250" s="6">
        <v>45263</v>
      </c>
      <c r="D250" s="6">
        <v>45263</v>
      </c>
      <c r="E250" s="5" t="s">
        <v>112</v>
      </c>
      <c r="F250" s="5" t="s">
        <v>107</v>
      </c>
      <c r="G250" s="5" t="s">
        <v>83</v>
      </c>
      <c r="H250" s="5" t="s">
        <v>84</v>
      </c>
      <c r="I250" s="5" t="s">
        <v>97</v>
      </c>
      <c r="J250" s="5" t="s">
        <v>140</v>
      </c>
      <c r="K250" s="5" t="s">
        <v>111</v>
      </c>
      <c r="L250" s="5">
        <v>1</v>
      </c>
      <c r="M250" s="5">
        <v>3942.92</v>
      </c>
      <c r="N250" s="5">
        <v>0</v>
      </c>
      <c r="O250" s="5">
        <v>3942.92</v>
      </c>
      <c r="P250">
        <f t="shared" si="39"/>
        <v>3942.92</v>
      </c>
      <c r="Q250">
        <f t="shared" si="40"/>
        <v>0</v>
      </c>
      <c r="R250">
        <f t="shared" si="41"/>
        <v>3942.92</v>
      </c>
      <c r="S250" t="str">
        <f t="shared" si="42"/>
        <v>Low</v>
      </c>
      <c r="T250" t="str">
        <f t="shared" si="43"/>
        <v>Low</v>
      </c>
      <c r="U250" t="str">
        <f t="shared" si="44"/>
        <v>Normal Discount</v>
      </c>
      <c r="V250" t="str">
        <f t="shared" si="45"/>
        <v>Average</v>
      </c>
      <c r="W250">
        <f t="shared" si="46"/>
        <v>99</v>
      </c>
      <c r="X250">
        <f t="shared" si="47"/>
        <v>106</v>
      </c>
      <c r="Y250">
        <f t="shared" si="48"/>
        <v>29</v>
      </c>
      <c r="Z250" t="str">
        <f t="shared" si="49"/>
        <v>Eligible</v>
      </c>
      <c r="AA250" t="str">
        <f t="shared" si="50"/>
        <v>Normal Order</v>
      </c>
      <c r="AB250" t="str">
        <f t="shared" si="51"/>
        <v>Online</v>
      </c>
    </row>
    <row r="251" spans="1:28">
      <c r="A251" s="5">
        <v>10250</v>
      </c>
      <c r="B251" s="5">
        <v>1455</v>
      </c>
      <c r="C251" s="6">
        <v>45233</v>
      </c>
      <c r="D251" s="6">
        <v>45233</v>
      </c>
      <c r="E251" s="5" t="s">
        <v>100</v>
      </c>
      <c r="F251" s="5" t="s">
        <v>82</v>
      </c>
      <c r="G251" s="5" t="s">
        <v>83</v>
      </c>
      <c r="H251" s="5" t="s">
        <v>101</v>
      </c>
      <c r="I251" s="5" t="s">
        <v>92</v>
      </c>
      <c r="J251" s="5" t="s">
        <v>144</v>
      </c>
      <c r="K251" s="5" t="s">
        <v>94</v>
      </c>
      <c r="L251" s="5">
        <v>9</v>
      </c>
      <c r="M251" s="5">
        <v>3106.82</v>
      </c>
      <c r="N251" s="5">
        <v>15</v>
      </c>
      <c r="O251" s="5">
        <v>23767.17</v>
      </c>
      <c r="P251">
        <f t="shared" si="39"/>
        <v>27961.38</v>
      </c>
      <c r="Q251">
        <f t="shared" si="40"/>
        <v>4194.207</v>
      </c>
      <c r="R251">
        <f t="shared" si="41"/>
        <v>23767.173</v>
      </c>
      <c r="S251" t="str">
        <f t="shared" si="42"/>
        <v>High</v>
      </c>
      <c r="T251" t="str">
        <f t="shared" si="43"/>
        <v>High</v>
      </c>
      <c r="U251" t="str">
        <f t="shared" si="44"/>
        <v>Heavy Discount</v>
      </c>
      <c r="V251" t="str">
        <f t="shared" si="45"/>
        <v>Excellent Sales</v>
      </c>
      <c r="W251">
        <f t="shared" si="46"/>
        <v>99</v>
      </c>
      <c r="X251">
        <f t="shared" si="47"/>
        <v>106</v>
      </c>
      <c r="Y251">
        <f t="shared" si="48"/>
        <v>29</v>
      </c>
      <c r="Z251" t="str">
        <f t="shared" si="49"/>
        <v>Not Eligible</v>
      </c>
      <c r="AA251" t="str">
        <f t="shared" si="50"/>
        <v>Prriority Order</v>
      </c>
      <c r="AB251" t="str">
        <f t="shared" si="51"/>
        <v>Online</v>
      </c>
    </row>
    <row r="252" spans="1:28">
      <c r="A252" s="5">
        <v>10251</v>
      </c>
      <c r="B252" s="5">
        <v>1410</v>
      </c>
      <c r="C252" s="6">
        <v>45155</v>
      </c>
      <c r="D252" s="6">
        <v>45155</v>
      </c>
      <c r="E252" s="5" t="s">
        <v>82</v>
      </c>
      <c r="F252" s="5" t="s">
        <v>89</v>
      </c>
      <c r="G252" s="5" t="s">
        <v>83</v>
      </c>
      <c r="H252" s="5" t="s">
        <v>91</v>
      </c>
      <c r="I252" s="5" t="s">
        <v>97</v>
      </c>
      <c r="J252" s="5" t="s">
        <v>114</v>
      </c>
      <c r="K252" s="5" t="s">
        <v>94</v>
      </c>
      <c r="L252" s="5">
        <v>8</v>
      </c>
      <c r="M252" s="5">
        <v>1822.29</v>
      </c>
      <c r="N252" s="5">
        <v>20</v>
      </c>
      <c r="O252" s="5">
        <v>11662.66</v>
      </c>
      <c r="P252">
        <f t="shared" si="39"/>
        <v>14578.32</v>
      </c>
      <c r="Q252">
        <f t="shared" si="40"/>
        <v>2915.664</v>
      </c>
      <c r="R252">
        <f t="shared" si="41"/>
        <v>11662.656</v>
      </c>
      <c r="S252" t="str">
        <f t="shared" si="42"/>
        <v>High</v>
      </c>
      <c r="T252" t="str">
        <f t="shared" si="43"/>
        <v>High</v>
      </c>
      <c r="U252" t="str">
        <f t="shared" si="44"/>
        <v>Heavy Discount</v>
      </c>
      <c r="V252" t="str">
        <f t="shared" si="45"/>
        <v>Excellent Sales</v>
      </c>
      <c r="W252">
        <f t="shared" si="46"/>
        <v>99</v>
      </c>
      <c r="X252">
        <f t="shared" si="47"/>
        <v>106</v>
      </c>
      <c r="Y252">
        <f t="shared" si="48"/>
        <v>29</v>
      </c>
      <c r="Z252" t="str">
        <f t="shared" si="49"/>
        <v>Not Eligible</v>
      </c>
      <c r="AA252" t="str">
        <f t="shared" si="50"/>
        <v>Prriority Order</v>
      </c>
      <c r="AB252" t="str">
        <f t="shared" si="51"/>
        <v>Online</v>
      </c>
    </row>
    <row r="253" spans="1:28">
      <c r="A253" s="5">
        <v>10252</v>
      </c>
      <c r="B253" s="5">
        <v>1648</v>
      </c>
      <c r="C253" s="6">
        <v>45114</v>
      </c>
      <c r="D253" s="6">
        <v>45114</v>
      </c>
      <c r="E253" s="5" t="s">
        <v>103</v>
      </c>
      <c r="F253" s="5" t="s">
        <v>104</v>
      </c>
      <c r="G253" s="5" t="s">
        <v>90</v>
      </c>
      <c r="H253" s="5" t="s">
        <v>108</v>
      </c>
      <c r="I253" s="5" t="s">
        <v>123</v>
      </c>
      <c r="J253" s="5" t="s">
        <v>135</v>
      </c>
      <c r="K253" s="5" t="s">
        <v>99</v>
      </c>
      <c r="L253" s="5">
        <v>4</v>
      </c>
      <c r="M253" s="5">
        <v>1868.8</v>
      </c>
      <c r="N253" s="5">
        <v>20</v>
      </c>
      <c r="O253" s="5">
        <v>5980.16</v>
      </c>
      <c r="P253">
        <f t="shared" si="39"/>
        <v>7475.2</v>
      </c>
      <c r="Q253">
        <f t="shared" si="40"/>
        <v>1495.04</v>
      </c>
      <c r="R253">
        <f t="shared" si="41"/>
        <v>5980.16</v>
      </c>
      <c r="S253" t="str">
        <f t="shared" si="42"/>
        <v>Low</v>
      </c>
      <c r="T253" t="str">
        <f t="shared" si="43"/>
        <v>Low</v>
      </c>
      <c r="U253" t="str">
        <f t="shared" si="44"/>
        <v>Heavy Discount</v>
      </c>
      <c r="V253" t="str">
        <f t="shared" si="45"/>
        <v>Good</v>
      </c>
      <c r="W253">
        <f t="shared" si="46"/>
        <v>99</v>
      </c>
      <c r="X253">
        <f t="shared" si="47"/>
        <v>106</v>
      </c>
      <c r="Y253">
        <f t="shared" si="48"/>
        <v>29</v>
      </c>
      <c r="Z253" t="str">
        <f t="shared" si="49"/>
        <v>Not Eligible</v>
      </c>
      <c r="AA253" t="str">
        <f t="shared" si="50"/>
        <v>Normal Order</v>
      </c>
      <c r="AB253" t="str">
        <f t="shared" si="51"/>
        <v>Online</v>
      </c>
    </row>
    <row r="254" spans="1:28">
      <c r="A254" s="5">
        <v>10253</v>
      </c>
      <c r="B254" s="5">
        <v>1317</v>
      </c>
      <c r="C254" s="6">
        <v>45034</v>
      </c>
      <c r="D254" s="6">
        <v>45034</v>
      </c>
      <c r="E254" s="5" t="s">
        <v>106</v>
      </c>
      <c r="F254" s="5" t="s">
        <v>107</v>
      </c>
      <c r="G254" s="5" t="s">
        <v>90</v>
      </c>
      <c r="H254" s="5" t="s">
        <v>101</v>
      </c>
      <c r="I254" s="5" t="s">
        <v>85</v>
      </c>
      <c r="J254" s="5" t="s">
        <v>86</v>
      </c>
      <c r="K254" s="5" t="s">
        <v>113</v>
      </c>
      <c r="L254" s="5">
        <v>5</v>
      </c>
      <c r="M254" s="5">
        <v>2532.27</v>
      </c>
      <c r="N254" s="5">
        <v>15</v>
      </c>
      <c r="O254" s="5">
        <v>10762.15</v>
      </c>
      <c r="P254">
        <f t="shared" si="39"/>
        <v>12661.35</v>
      </c>
      <c r="Q254">
        <f t="shared" si="40"/>
        <v>1899.2025</v>
      </c>
      <c r="R254">
        <f t="shared" si="41"/>
        <v>10762.1475</v>
      </c>
      <c r="S254" t="str">
        <f t="shared" si="42"/>
        <v>High</v>
      </c>
      <c r="T254" t="str">
        <f t="shared" si="43"/>
        <v>Medium</v>
      </c>
      <c r="U254" t="str">
        <f t="shared" si="44"/>
        <v>Heavy Discount</v>
      </c>
      <c r="V254" t="str">
        <f t="shared" si="45"/>
        <v>Excellent Sales</v>
      </c>
      <c r="W254">
        <f t="shared" si="46"/>
        <v>99</v>
      </c>
      <c r="X254">
        <f t="shared" si="47"/>
        <v>106</v>
      </c>
      <c r="Y254">
        <f t="shared" si="48"/>
        <v>29</v>
      </c>
      <c r="Z254" t="str">
        <f t="shared" si="49"/>
        <v>Not Eligible</v>
      </c>
      <c r="AA254" t="str">
        <f t="shared" si="50"/>
        <v>Prriority Order</v>
      </c>
      <c r="AB254" t="str">
        <f t="shared" si="51"/>
        <v>Online</v>
      </c>
    </row>
    <row r="255" spans="1:28">
      <c r="A255" s="5">
        <v>10254</v>
      </c>
      <c r="B255" s="5">
        <v>1676</v>
      </c>
      <c r="C255" s="6">
        <v>45012</v>
      </c>
      <c r="D255" s="6">
        <v>45012</v>
      </c>
      <c r="E255" s="5" t="s">
        <v>88</v>
      </c>
      <c r="F255" s="5" t="s">
        <v>82</v>
      </c>
      <c r="G255" s="5" t="s">
        <v>83</v>
      </c>
      <c r="H255" s="5" t="s">
        <v>108</v>
      </c>
      <c r="I255" s="5" t="s">
        <v>123</v>
      </c>
      <c r="J255" s="5" t="s">
        <v>139</v>
      </c>
      <c r="K255" s="5" t="s">
        <v>111</v>
      </c>
      <c r="L255" s="5">
        <v>2</v>
      </c>
      <c r="M255" s="5">
        <v>2711.66</v>
      </c>
      <c r="N255" s="5">
        <v>0</v>
      </c>
      <c r="O255" s="5">
        <v>5423.32</v>
      </c>
      <c r="P255">
        <f t="shared" si="39"/>
        <v>5423.32</v>
      </c>
      <c r="Q255">
        <f t="shared" si="40"/>
        <v>0</v>
      </c>
      <c r="R255">
        <f t="shared" si="41"/>
        <v>5423.32</v>
      </c>
      <c r="S255" t="str">
        <f t="shared" si="42"/>
        <v>Low</v>
      </c>
      <c r="T255" t="str">
        <f t="shared" si="43"/>
        <v>Low</v>
      </c>
      <c r="U255" t="str">
        <f t="shared" si="44"/>
        <v>Normal Discount</v>
      </c>
      <c r="V255" t="str">
        <f t="shared" si="45"/>
        <v>Good</v>
      </c>
      <c r="W255">
        <f t="shared" si="46"/>
        <v>99</v>
      </c>
      <c r="X255">
        <f t="shared" si="47"/>
        <v>106</v>
      </c>
      <c r="Y255">
        <f t="shared" si="48"/>
        <v>29</v>
      </c>
      <c r="Z255" t="str">
        <f t="shared" si="49"/>
        <v>Eligible</v>
      </c>
      <c r="AA255" t="str">
        <f t="shared" si="50"/>
        <v>Normal Order</v>
      </c>
      <c r="AB255" t="str">
        <f t="shared" si="51"/>
        <v>Online</v>
      </c>
    </row>
    <row r="256" spans="1:28">
      <c r="A256" s="5">
        <v>10255</v>
      </c>
      <c r="B256" s="5">
        <v>1224</v>
      </c>
      <c r="C256" s="6">
        <v>45269</v>
      </c>
      <c r="D256" s="6">
        <v>45269</v>
      </c>
      <c r="E256" s="5" t="s">
        <v>82</v>
      </c>
      <c r="F256" s="5" t="s">
        <v>107</v>
      </c>
      <c r="G256" s="5" t="s">
        <v>83</v>
      </c>
      <c r="H256" s="5" t="s">
        <v>108</v>
      </c>
      <c r="I256" s="5" t="s">
        <v>85</v>
      </c>
      <c r="J256" s="5" t="s">
        <v>86</v>
      </c>
      <c r="K256" s="5" t="s">
        <v>99</v>
      </c>
      <c r="L256" s="5">
        <v>9</v>
      </c>
      <c r="M256" s="5">
        <v>2077.74</v>
      </c>
      <c r="N256" s="5">
        <v>15</v>
      </c>
      <c r="O256" s="5">
        <v>15894.71</v>
      </c>
      <c r="P256">
        <f t="shared" si="39"/>
        <v>18699.66</v>
      </c>
      <c r="Q256">
        <f t="shared" si="40"/>
        <v>2804.949</v>
      </c>
      <c r="R256">
        <f t="shared" si="41"/>
        <v>15894.711</v>
      </c>
      <c r="S256" t="str">
        <f t="shared" si="42"/>
        <v>High</v>
      </c>
      <c r="T256" t="str">
        <f t="shared" si="43"/>
        <v>High</v>
      </c>
      <c r="U256" t="str">
        <f t="shared" si="44"/>
        <v>Heavy Discount</v>
      </c>
      <c r="V256" t="str">
        <f t="shared" si="45"/>
        <v>Excellent Sales</v>
      </c>
      <c r="W256">
        <f t="shared" si="46"/>
        <v>99</v>
      </c>
      <c r="X256">
        <f t="shared" si="47"/>
        <v>106</v>
      </c>
      <c r="Y256">
        <f t="shared" si="48"/>
        <v>29</v>
      </c>
      <c r="Z256" t="str">
        <f t="shared" si="49"/>
        <v>Not Eligible</v>
      </c>
      <c r="AA256" t="str">
        <f t="shared" si="50"/>
        <v>Prriority Order</v>
      </c>
      <c r="AB256" t="str">
        <f t="shared" si="51"/>
        <v>Online</v>
      </c>
    </row>
    <row r="257" spans="1:28">
      <c r="A257" s="5">
        <v>10256</v>
      </c>
      <c r="B257" s="5">
        <v>1818</v>
      </c>
      <c r="C257" s="6">
        <v>45184</v>
      </c>
      <c r="D257" s="6">
        <v>45184</v>
      </c>
      <c r="E257" s="5" t="s">
        <v>103</v>
      </c>
      <c r="F257" s="5" t="s">
        <v>107</v>
      </c>
      <c r="G257" s="5" t="s">
        <v>90</v>
      </c>
      <c r="H257" s="5" t="s">
        <v>91</v>
      </c>
      <c r="I257" s="5" t="s">
        <v>85</v>
      </c>
      <c r="J257" s="5" t="s">
        <v>86</v>
      </c>
      <c r="K257" s="5" t="s">
        <v>111</v>
      </c>
      <c r="L257" s="5">
        <v>6</v>
      </c>
      <c r="M257" s="5">
        <v>2632.72</v>
      </c>
      <c r="N257" s="5">
        <v>0</v>
      </c>
      <c r="O257" s="5">
        <v>15796.32</v>
      </c>
      <c r="P257">
        <f t="shared" si="39"/>
        <v>15796.32</v>
      </c>
      <c r="Q257">
        <f t="shared" si="40"/>
        <v>0</v>
      </c>
      <c r="R257">
        <f t="shared" si="41"/>
        <v>15796.32</v>
      </c>
      <c r="S257" t="str">
        <f t="shared" si="42"/>
        <v>High</v>
      </c>
      <c r="T257" t="str">
        <f t="shared" si="43"/>
        <v>High</v>
      </c>
      <c r="U257" t="str">
        <f t="shared" si="44"/>
        <v>Normal Discount</v>
      </c>
      <c r="V257" t="str">
        <f t="shared" si="45"/>
        <v>Excellent Sales</v>
      </c>
      <c r="W257">
        <f t="shared" si="46"/>
        <v>99</v>
      </c>
      <c r="X257">
        <f t="shared" si="47"/>
        <v>106</v>
      </c>
      <c r="Y257">
        <f t="shared" si="48"/>
        <v>29</v>
      </c>
      <c r="Z257" t="str">
        <f t="shared" si="49"/>
        <v>Eligible</v>
      </c>
      <c r="AA257" t="str">
        <f t="shared" si="50"/>
        <v>Prriority Order</v>
      </c>
      <c r="AB257" t="str">
        <f t="shared" si="51"/>
        <v>Online</v>
      </c>
    </row>
    <row r="258" spans="1:28">
      <c r="A258" s="5">
        <v>10257</v>
      </c>
      <c r="B258" s="5">
        <v>1233</v>
      </c>
      <c r="C258" s="6">
        <v>45297</v>
      </c>
      <c r="D258" s="6">
        <v>45297</v>
      </c>
      <c r="E258" s="5" t="s">
        <v>106</v>
      </c>
      <c r="F258" s="5" t="s">
        <v>107</v>
      </c>
      <c r="G258" s="5" t="s">
        <v>90</v>
      </c>
      <c r="H258" s="5" t="s">
        <v>110</v>
      </c>
      <c r="I258" s="5" t="s">
        <v>97</v>
      </c>
      <c r="J258" s="5" t="s">
        <v>98</v>
      </c>
      <c r="K258" s="5" t="s">
        <v>113</v>
      </c>
      <c r="L258" s="5">
        <v>3</v>
      </c>
      <c r="M258" s="5">
        <v>240.6</v>
      </c>
      <c r="N258" s="5">
        <v>5</v>
      </c>
      <c r="O258" s="5">
        <v>685.71</v>
      </c>
      <c r="P258">
        <f t="shared" si="39"/>
        <v>721.8</v>
      </c>
      <c r="Q258">
        <f t="shared" si="40"/>
        <v>36.09</v>
      </c>
      <c r="R258">
        <f t="shared" si="41"/>
        <v>685.71</v>
      </c>
      <c r="S258" t="str">
        <f t="shared" si="42"/>
        <v>Low</v>
      </c>
      <c r="T258" t="str">
        <f t="shared" si="43"/>
        <v>Low</v>
      </c>
      <c r="U258" t="str">
        <f t="shared" si="44"/>
        <v>Heavy Discount</v>
      </c>
      <c r="V258" t="str">
        <f t="shared" si="45"/>
        <v>Average</v>
      </c>
      <c r="W258">
        <f t="shared" si="46"/>
        <v>99</v>
      </c>
      <c r="X258">
        <f t="shared" si="47"/>
        <v>106</v>
      </c>
      <c r="Y258">
        <f t="shared" si="48"/>
        <v>29</v>
      </c>
      <c r="Z258" t="str">
        <f t="shared" si="49"/>
        <v>Not Eligible</v>
      </c>
      <c r="AA258" t="str">
        <f t="shared" si="50"/>
        <v>Normal Order</v>
      </c>
      <c r="AB258" t="str">
        <f t="shared" si="51"/>
        <v>Online</v>
      </c>
    </row>
    <row r="259" spans="1:28">
      <c r="A259" s="5">
        <v>10258</v>
      </c>
      <c r="B259" s="5">
        <v>1683</v>
      </c>
      <c r="C259" s="6">
        <v>44950</v>
      </c>
      <c r="D259" s="6">
        <v>44950</v>
      </c>
      <c r="E259" s="5" t="s">
        <v>106</v>
      </c>
      <c r="F259" s="5" t="s">
        <v>104</v>
      </c>
      <c r="G259" s="5" t="s">
        <v>90</v>
      </c>
      <c r="H259" s="5" t="s">
        <v>101</v>
      </c>
      <c r="I259" s="5" t="s">
        <v>132</v>
      </c>
      <c r="J259" s="5" t="s">
        <v>134</v>
      </c>
      <c r="K259" s="5" t="s">
        <v>94</v>
      </c>
      <c r="L259" s="5">
        <v>7</v>
      </c>
      <c r="M259" s="5">
        <v>1804.05</v>
      </c>
      <c r="N259" s="5">
        <v>0</v>
      </c>
      <c r="O259" s="5">
        <v>12628.35</v>
      </c>
      <c r="P259">
        <f t="shared" ref="P259:P322" si="52">L259*M259</f>
        <v>12628.35</v>
      </c>
      <c r="Q259">
        <f t="shared" ref="Q259:Q322" si="53">P259*(N259/100)</f>
        <v>0</v>
      </c>
      <c r="R259">
        <f t="shared" ref="R259:R322" si="54">P259-Q259</f>
        <v>12628.35</v>
      </c>
      <c r="S259" t="str">
        <f t="shared" ref="S259:S322" si="55">IF(L259&gt;=5,"High","Low")</f>
        <v>High</v>
      </c>
      <c r="T259" t="str">
        <f t="shared" ref="T259:T322" si="56">IF(L259&gt;5,"High",IF(L259=5,"Medium","Low"))</f>
        <v>High</v>
      </c>
      <c r="U259" t="str">
        <f t="shared" ref="U259:U322" si="57">IF(N259&gt;10%,"Heavy Discount","Normal Discount")</f>
        <v>Normal Discount</v>
      </c>
      <c r="V259" t="str">
        <f t="shared" ref="V259:V322" si="58">IF(O259&gt;=7000,"Excellent Sales",IF(O259&gt;=4000,"Good","Average"))</f>
        <v>Excellent Sales</v>
      </c>
      <c r="W259">
        <f t="shared" ref="W259:W322" si="59">COUNTIF($I$2:$I$501,"Beauty")</f>
        <v>99</v>
      </c>
      <c r="X259">
        <f t="shared" ref="X259:X322" si="60">COUNTIF($N$2:$N$501,"&gt;15")</f>
        <v>106</v>
      </c>
      <c r="Y259">
        <f t="shared" ref="Y259:Y322" si="61">COUNTIFS(I259:I758,"Electronics",G259:G758,"&lt;&gt;Marketplace")</f>
        <v>29</v>
      </c>
      <c r="Z259" t="str">
        <f t="shared" ref="Z259:Z322" si="62">IF(AND(O259:O758,N259&lt;10%),"Eligible","Not Eligible")</f>
        <v>Eligible</v>
      </c>
      <c r="AA259" t="str">
        <f t="shared" ref="AA259:AA322" si="63">IF(OR(O259&gt;7000,L259&gt;5),"Prriority Order","Normal Order")</f>
        <v>Prriority Order</v>
      </c>
      <c r="AB259" t="str">
        <f t="shared" ref="AB259:AB322" si="64">IF(G259&lt;&gt;"Marketplace","Online","")</f>
        <v>Online</v>
      </c>
    </row>
    <row r="260" spans="1:28">
      <c r="A260" s="5">
        <v>10259</v>
      </c>
      <c r="B260" s="5">
        <v>1663</v>
      </c>
      <c r="C260" s="6">
        <v>45126</v>
      </c>
      <c r="D260" s="6">
        <v>45126</v>
      </c>
      <c r="E260" s="5" t="s">
        <v>82</v>
      </c>
      <c r="F260" s="5" t="s">
        <v>95</v>
      </c>
      <c r="G260" s="5" t="s">
        <v>90</v>
      </c>
      <c r="H260" s="5" t="s">
        <v>91</v>
      </c>
      <c r="I260" s="5" t="s">
        <v>115</v>
      </c>
      <c r="J260" s="5" t="s">
        <v>119</v>
      </c>
      <c r="K260" s="5" t="s">
        <v>87</v>
      </c>
      <c r="L260" s="5">
        <v>9</v>
      </c>
      <c r="M260" s="5">
        <v>1223.91</v>
      </c>
      <c r="N260" s="5">
        <v>5</v>
      </c>
      <c r="O260" s="5">
        <v>10464.43</v>
      </c>
      <c r="P260">
        <f t="shared" si="52"/>
        <v>11015.19</v>
      </c>
      <c r="Q260">
        <f t="shared" si="53"/>
        <v>550.7595</v>
      </c>
      <c r="R260">
        <f t="shared" si="54"/>
        <v>10464.4305</v>
      </c>
      <c r="S260" t="str">
        <f t="shared" si="55"/>
        <v>High</v>
      </c>
      <c r="T260" t="str">
        <f t="shared" si="56"/>
        <v>High</v>
      </c>
      <c r="U260" t="str">
        <f t="shared" si="57"/>
        <v>Heavy Discount</v>
      </c>
      <c r="V260" t="str">
        <f t="shared" si="58"/>
        <v>Excellent Sales</v>
      </c>
      <c r="W260">
        <f t="shared" si="59"/>
        <v>99</v>
      </c>
      <c r="X260">
        <f t="shared" si="60"/>
        <v>106</v>
      </c>
      <c r="Y260">
        <f t="shared" si="61"/>
        <v>29</v>
      </c>
      <c r="Z260" t="str">
        <f t="shared" si="62"/>
        <v>Not Eligible</v>
      </c>
      <c r="AA260" t="str">
        <f t="shared" si="63"/>
        <v>Prriority Order</v>
      </c>
      <c r="AB260" t="str">
        <f t="shared" si="64"/>
        <v>Online</v>
      </c>
    </row>
    <row r="261" spans="1:28">
      <c r="A261" s="5">
        <v>10260</v>
      </c>
      <c r="B261" s="5">
        <v>1974</v>
      </c>
      <c r="C261" s="6">
        <v>45110</v>
      </c>
      <c r="D261" s="6">
        <v>45110</v>
      </c>
      <c r="E261" s="5" t="s">
        <v>88</v>
      </c>
      <c r="F261" s="5" t="s">
        <v>107</v>
      </c>
      <c r="G261" s="5" t="s">
        <v>83</v>
      </c>
      <c r="H261" s="5" t="s">
        <v>108</v>
      </c>
      <c r="I261" s="5" t="s">
        <v>97</v>
      </c>
      <c r="J261" s="5" t="s">
        <v>140</v>
      </c>
      <c r="K261" s="5" t="s">
        <v>94</v>
      </c>
      <c r="L261" s="5">
        <v>3</v>
      </c>
      <c r="M261" s="5">
        <v>647.32</v>
      </c>
      <c r="N261" s="5">
        <v>5</v>
      </c>
      <c r="O261" s="5">
        <v>1844.86</v>
      </c>
      <c r="P261">
        <f t="shared" si="52"/>
        <v>1941.96</v>
      </c>
      <c r="Q261">
        <f t="shared" si="53"/>
        <v>97.098</v>
      </c>
      <c r="R261">
        <f t="shared" si="54"/>
        <v>1844.862</v>
      </c>
      <c r="S261" t="str">
        <f t="shared" si="55"/>
        <v>Low</v>
      </c>
      <c r="T261" t="str">
        <f t="shared" si="56"/>
        <v>Low</v>
      </c>
      <c r="U261" t="str">
        <f t="shared" si="57"/>
        <v>Heavy Discount</v>
      </c>
      <c r="V261" t="str">
        <f t="shared" si="58"/>
        <v>Average</v>
      </c>
      <c r="W261">
        <f t="shared" si="59"/>
        <v>99</v>
      </c>
      <c r="X261">
        <f t="shared" si="60"/>
        <v>106</v>
      </c>
      <c r="Y261">
        <f t="shared" si="61"/>
        <v>28</v>
      </c>
      <c r="Z261" t="str">
        <f t="shared" si="62"/>
        <v>Not Eligible</v>
      </c>
      <c r="AA261" t="str">
        <f t="shared" si="63"/>
        <v>Normal Order</v>
      </c>
      <c r="AB261" t="str">
        <f t="shared" si="64"/>
        <v>Online</v>
      </c>
    </row>
    <row r="262" spans="1:28">
      <c r="A262" s="5">
        <v>10261</v>
      </c>
      <c r="B262" s="5">
        <v>1826</v>
      </c>
      <c r="C262" s="6">
        <v>44936</v>
      </c>
      <c r="D262" s="6">
        <v>44936</v>
      </c>
      <c r="E262" s="5" t="s">
        <v>81</v>
      </c>
      <c r="F262" s="5" t="s">
        <v>127</v>
      </c>
      <c r="G262" s="5" t="s">
        <v>90</v>
      </c>
      <c r="H262" s="5" t="s">
        <v>91</v>
      </c>
      <c r="I262" s="5" t="s">
        <v>97</v>
      </c>
      <c r="J262" s="5" t="s">
        <v>98</v>
      </c>
      <c r="K262" s="5" t="s">
        <v>99</v>
      </c>
      <c r="L262" s="5">
        <v>2</v>
      </c>
      <c r="M262" s="5">
        <v>533.25</v>
      </c>
      <c r="N262" s="5">
        <v>0</v>
      </c>
      <c r="O262" s="5">
        <v>1066.5</v>
      </c>
      <c r="P262">
        <f t="shared" si="52"/>
        <v>1066.5</v>
      </c>
      <c r="Q262">
        <f t="shared" si="53"/>
        <v>0</v>
      </c>
      <c r="R262">
        <f t="shared" si="54"/>
        <v>1066.5</v>
      </c>
      <c r="S262" t="str">
        <f t="shared" si="55"/>
        <v>Low</v>
      </c>
      <c r="T262" t="str">
        <f t="shared" si="56"/>
        <v>Low</v>
      </c>
      <c r="U262" t="str">
        <f t="shared" si="57"/>
        <v>Normal Discount</v>
      </c>
      <c r="V262" t="str">
        <f t="shared" si="58"/>
        <v>Average</v>
      </c>
      <c r="W262">
        <f t="shared" si="59"/>
        <v>99</v>
      </c>
      <c r="X262">
        <f t="shared" si="60"/>
        <v>106</v>
      </c>
      <c r="Y262">
        <f t="shared" si="61"/>
        <v>28</v>
      </c>
      <c r="Z262" t="str">
        <f t="shared" si="62"/>
        <v>Eligible</v>
      </c>
      <c r="AA262" t="str">
        <f t="shared" si="63"/>
        <v>Normal Order</v>
      </c>
      <c r="AB262" t="str">
        <f t="shared" si="64"/>
        <v>Online</v>
      </c>
    </row>
    <row r="263" spans="1:28">
      <c r="A263" s="5">
        <v>10262</v>
      </c>
      <c r="B263" s="5">
        <v>1373</v>
      </c>
      <c r="C263" s="6">
        <v>44998</v>
      </c>
      <c r="D263" s="6">
        <v>44998</v>
      </c>
      <c r="E263" s="5" t="s">
        <v>81</v>
      </c>
      <c r="F263" s="5" t="s">
        <v>89</v>
      </c>
      <c r="G263" s="5" t="s">
        <v>83</v>
      </c>
      <c r="H263" s="5" t="s">
        <v>110</v>
      </c>
      <c r="I263" s="5" t="s">
        <v>132</v>
      </c>
      <c r="J263" s="5" t="s">
        <v>134</v>
      </c>
      <c r="K263" s="5" t="s">
        <v>87</v>
      </c>
      <c r="L263" s="5">
        <v>7</v>
      </c>
      <c r="M263" s="5">
        <v>2472.29</v>
      </c>
      <c r="N263" s="5">
        <v>10</v>
      </c>
      <c r="O263" s="5">
        <v>15575.43</v>
      </c>
      <c r="P263">
        <f t="shared" si="52"/>
        <v>17306.03</v>
      </c>
      <c r="Q263">
        <f t="shared" si="53"/>
        <v>1730.603</v>
      </c>
      <c r="R263">
        <f t="shared" si="54"/>
        <v>15575.427</v>
      </c>
      <c r="S263" t="str">
        <f t="shared" si="55"/>
        <v>High</v>
      </c>
      <c r="T263" t="str">
        <f t="shared" si="56"/>
        <v>High</v>
      </c>
      <c r="U263" t="str">
        <f t="shared" si="57"/>
        <v>Heavy Discount</v>
      </c>
      <c r="V263" t="str">
        <f t="shared" si="58"/>
        <v>Excellent Sales</v>
      </c>
      <c r="W263">
        <f t="shared" si="59"/>
        <v>99</v>
      </c>
      <c r="X263">
        <f t="shared" si="60"/>
        <v>106</v>
      </c>
      <c r="Y263">
        <f t="shared" si="61"/>
        <v>28</v>
      </c>
      <c r="Z263" t="str">
        <f t="shared" si="62"/>
        <v>Not Eligible</v>
      </c>
      <c r="AA263" t="str">
        <f t="shared" si="63"/>
        <v>Prriority Order</v>
      </c>
      <c r="AB263" t="str">
        <f t="shared" si="64"/>
        <v>Online</v>
      </c>
    </row>
    <row r="264" spans="1:28">
      <c r="A264" s="5">
        <v>10263</v>
      </c>
      <c r="B264" s="5">
        <v>1671</v>
      </c>
      <c r="C264" s="6">
        <v>45059</v>
      </c>
      <c r="D264" s="6">
        <v>45059</v>
      </c>
      <c r="E264" s="5" t="s">
        <v>106</v>
      </c>
      <c r="F264" s="5" t="s">
        <v>104</v>
      </c>
      <c r="G264" s="5" t="s">
        <v>96</v>
      </c>
      <c r="H264" s="5" t="s">
        <v>101</v>
      </c>
      <c r="I264" s="5" t="s">
        <v>115</v>
      </c>
      <c r="J264" s="5" t="s">
        <v>138</v>
      </c>
      <c r="K264" s="5" t="s">
        <v>99</v>
      </c>
      <c r="L264" s="5">
        <v>7</v>
      </c>
      <c r="M264" s="5">
        <v>2165.86</v>
      </c>
      <c r="N264" s="5">
        <v>0</v>
      </c>
      <c r="O264" s="5">
        <v>15161.02</v>
      </c>
      <c r="P264">
        <f t="shared" si="52"/>
        <v>15161.02</v>
      </c>
      <c r="Q264">
        <f t="shared" si="53"/>
        <v>0</v>
      </c>
      <c r="R264">
        <f t="shared" si="54"/>
        <v>15161.02</v>
      </c>
      <c r="S264" t="str">
        <f t="shared" si="55"/>
        <v>High</v>
      </c>
      <c r="T264" t="str">
        <f t="shared" si="56"/>
        <v>High</v>
      </c>
      <c r="U264" t="str">
        <f t="shared" si="57"/>
        <v>Normal Discount</v>
      </c>
      <c r="V264" t="str">
        <f t="shared" si="58"/>
        <v>Excellent Sales</v>
      </c>
      <c r="W264">
        <f t="shared" si="59"/>
        <v>99</v>
      </c>
      <c r="X264">
        <f t="shared" si="60"/>
        <v>106</v>
      </c>
      <c r="Y264">
        <f t="shared" si="61"/>
        <v>28</v>
      </c>
      <c r="Z264" t="str">
        <f t="shared" si="62"/>
        <v>Eligible</v>
      </c>
      <c r="AA264" t="str">
        <f t="shared" si="63"/>
        <v>Prriority Order</v>
      </c>
      <c r="AB264" t="str">
        <f t="shared" si="64"/>
        <v/>
      </c>
    </row>
    <row r="265" spans="1:28">
      <c r="A265" s="5">
        <v>10264</v>
      </c>
      <c r="B265" s="5">
        <v>1607</v>
      </c>
      <c r="C265" s="6">
        <v>45091</v>
      </c>
      <c r="D265" s="6">
        <v>45091</v>
      </c>
      <c r="E265" s="5" t="s">
        <v>81</v>
      </c>
      <c r="F265" s="5" t="s">
        <v>82</v>
      </c>
      <c r="G265" s="5" t="s">
        <v>96</v>
      </c>
      <c r="H265" s="5" t="s">
        <v>110</v>
      </c>
      <c r="I265" s="5" t="s">
        <v>123</v>
      </c>
      <c r="J265" s="5" t="s">
        <v>135</v>
      </c>
      <c r="K265" s="5" t="s">
        <v>113</v>
      </c>
      <c r="L265" s="5">
        <v>4</v>
      </c>
      <c r="M265" s="5">
        <v>1126.3</v>
      </c>
      <c r="N265" s="5">
        <v>20</v>
      </c>
      <c r="O265" s="5">
        <v>3604.16</v>
      </c>
      <c r="P265">
        <f t="shared" si="52"/>
        <v>4505.2</v>
      </c>
      <c r="Q265">
        <f t="shared" si="53"/>
        <v>901.04</v>
      </c>
      <c r="R265">
        <f t="shared" si="54"/>
        <v>3604.16</v>
      </c>
      <c r="S265" t="str">
        <f t="shared" si="55"/>
        <v>Low</v>
      </c>
      <c r="T265" t="str">
        <f t="shared" si="56"/>
        <v>Low</v>
      </c>
      <c r="U265" t="str">
        <f t="shared" si="57"/>
        <v>Heavy Discount</v>
      </c>
      <c r="V265" t="str">
        <f t="shared" si="58"/>
        <v>Average</v>
      </c>
      <c r="W265">
        <f t="shared" si="59"/>
        <v>99</v>
      </c>
      <c r="X265">
        <f t="shared" si="60"/>
        <v>106</v>
      </c>
      <c r="Y265">
        <f t="shared" si="61"/>
        <v>28</v>
      </c>
      <c r="Z265" t="str">
        <f t="shared" si="62"/>
        <v>Not Eligible</v>
      </c>
      <c r="AA265" t="str">
        <f t="shared" si="63"/>
        <v>Normal Order</v>
      </c>
      <c r="AB265" t="str">
        <f t="shared" si="64"/>
        <v/>
      </c>
    </row>
    <row r="266" spans="1:28">
      <c r="A266" s="5">
        <v>10265</v>
      </c>
      <c r="B266" s="5">
        <v>1471</v>
      </c>
      <c r="C266" s="6">
        <v>45179</v>
      </c>
      <c r="D266" s="6">
        <v>45179</v>
      </c>
      <c r="E266" s="5" t="s">
        <v>112</v>
      </c>
      <c r="F266" s="5" t="s">
        <v>104</v>
      </c>
      <c r="G266" s="5" t="s">
        <v>90</v>
      </c>
      <c r="H266" s="5" t="s">
        <v>84</v>
      </c>
      <c r="I266" s="5" t="s">
        <v>92</v>
      </c>
      <c r="J266" s="5" t="s">
        <v>136</v>
      </c>
      <c r="K266" s="5" t="s">
        <v>87</v>
      </c>
      <c r="L266" s="5">
        <v>9</v>
      </c>
      <c r="M266" s="5">
        <v>1963.16</v>
      </c>
      <c r="N266" s="5">
        <v>20</v>
      </c>
      <c r="O266" s="5">
        <v>14134.75</v>
      </c>
      <c r="P266">
        <f t="shared" si="52"/>
        <v>17668.44</v>
      </c>
      <c r="Q266">
        <f t="shared" si="53"/>
        <v>3533.688</v>
      </c>
      <c r="R266">
        <f t="shared" si="54"/>
        <v>14134.752</v>
      </c>
      <c r="S266" t="str">
        <f t="shared" si="55"/>
        <v>High</v>
      </c>
      <c r="T266" t="str">
        <f t="shared" si="56"/>
        <v>High</v>
      </c>
      <c r="U266" t="str">
        <f t="shared" si="57"/>
        <v>Heavy Discount</v>
      </c>
      <c r="V266" t="str">
        <f t="shared" si="58"/>
        <v>Excellent Sales</v>
      </c>
      <c r="W266">
        <f t="shared" si="59"/>
        <v>99</v>
      </c>
      <c r="X266">
        <f t="shared" si="60"/>
        <v>106</v>
      </c>
      <c r="Y266">
        <f t="shared" si="61"/>
        <v>28</v>
      </c>
      <c r="Z266" t="str">
        <f t="shared" si="62"/>
        <v>Not Eligible</v>
      </c>
      <c r="AA266" t="str">
        <f t="shared" si="63"/>
        <v>Prriority Order</v>
      </c>
      <c r="AB266" t="str">
        <f t="shared" si="64"/>
        <v>Online</v>
      </c>
    </row>
    <row r="267" spans="1:28">
      <c r="A267" s="5">
        <v>10266</v>
      </c>
      <c r="B267" s="5">
        <v>1232</v>
      </c>
      <c r="C267" s="6">
        <v>45134</v>
      </c>
      <c r="D267" s="6">
        <v>45134</v>
      </c>
      <c r="E267" s="5" t="s">
        <v>106</v>
      </c>
      <c r="F267" s="5" t="s">
        <v>82</v>
      </c>
      <c r="G267" s="5" t="s">
        <v>96</v>
      </c>
      <c r="H267" s="5" t="s">
        <v>101</v>
      </c>
      <c r="I267" s="5" t="s">
        <v>92</v>
      </c>
      <c r="J267" s="5" t="s">
        <v>136</v>
      </c>
      <c r="K267" s="5" t="s">
        <v>99</v>
      </c>
      <c r="L267" s="5">
        <v>8</v>
      </c>
      <c r="M267" s="5">
        <v>2045.09</v>
      </c>
      <c r="N267" s="5">
        <v>10</v>
      </c>
      <c r="O267" s="5">
        <v>14724.65</v>
      </c>
      <c r="P267">
        <f t="shared" si="52"/>
        <v>16360.72</v>
      </c>
      <c r="Q267">
        <f t="shared" si="53"/>
        <v>1636.072</v>
      </c>
      <c r="R267">
        <f t="shared" si="54"/>
        <v>14724.648</v>
      </c>
      <c r="S267" t="str">
        <f t="shared" si="55"/>
        <v>High</v>
      </c>
      <c r="T267" t="str">
        <f t="shared" si="56"/>
        <v>High</v>
      </c>
      <c r="U267" t="str">
        <f t="shared" si="57"/>
        <v>Heavy Discount</v>
      </c>
      <c r="V267" t="str">
        <f t="shared" si="58"/>
        <v>Excellent Sales</v>
      </c>
      <c r="W267">
        <f t="shared" si="59"/>
        <v>99</v>
      </c>
      <c r="X267">
        <f t="shared" si="60"/>
        <v>106</v>
      </c>
      <c r="Y267">
        <f t="shared" si="61"/>
        <v>28</v>
      </c>
      <c r="Z267" t="str">
        <f t="shared" si="62"/>
        <v>Not Eligible</v>
      </c>
      <c r="AA267" t="str">
        <f t="shared" si="63"/>
        <v>Prriority Order</v>
      </c>
      <c r="AB267" t="str">
        <f t="shared" si="64"/>
        <v/>
      </c>
    </row>
    <row r="268" spans="1:28">
      <c r="A268" s="5">
        <v>10267</v>
      </c>
      <c r="B268" s="5">
        <v>1691</v>
      </c>
      <c r="C268" s="6">
        <v>45079</v>
      </c>
      <c r="D268" s="6">
        <v>45079</v>
      </c>
      <c r="E268" s="5" t="s">
        <v>106</v>
      </c>
      <c r="F268" s="5" t="s">
        <v>104</v>
      </c>
      <c r="G268" s="5" t="s">
        <v>96</v>
      </c>
      <c r="H268" s="5" t="s">
        <v>110</v>
      </c>
      <c r="I268" s="5" t="s">
        <v>123</v>
      </c>
      <c r="J268" s="5" t="s">
        <v>124</v>
      </c>
      <c r="K268" s="5" t="s">
        <v>113</v>
      </c>
      <c r="L268" s="5">
        <v>1</v>
      </c>
      <c r="M268" s="5">
        <v>900.78</v>
      </c>
      <c r="N268" s="5">
        <v>5</v>
      </c>
      <c r="O268" s="5">
        <v>855.74</v>
      </c>
      <c r="P268">
        <f t="shared" si="52"/>
        <v>900.78</v>
      </c>
      <c r="Q268">
        <f t="shared" si="53"/>
        <v>45.039</v>
      </c>
      <c r="R268">
        <f t="shared" si="54"/>
        <v>855.741</v>
      </c>
      <c r="S268" t="str">
        <f t="shared" si="55"/>
        <v>Low</v>
      </c>
      <c r="T268" t="str">
        <f t="shared" si="56"/>
        <v>Low</v>
      </c>
      <c r="U268" t="str">
        <f t="shared" si="57"/>
        <v>Heavy Discount</v>
      </c>
      <c r="V268" t="str">
        <f t="shared" si="58"/>
        <v>Average</v>
      </c>
      <c r="W268">
        <f t="shared" si="59"/>
        <v>99</v>
      </c>
      <c r="X268">
        <f t="shared" si="60"/>
        <v>106</v>
      </c>
      <c r="Y268">
        <f t="shared" si="61"/>
        <v>28</v>
      </c>
      <c r="Z268" t="str">
        <f t="shared" si="62"/>
        <v>Not Eligible</v>
      </c>
      <c r="AA268" t="str">
        <f t="shared" si="63"/>
        <v>Normal Order</v>
      </c>
      <c r="AB268" t="str">
        <f t="shared" si="64"/>
        <v/>
      </c>
    </row>
    <row r="269" spans="1:28">
      <c r="A269" s="5">
        <v>10268</v>
      </c>
      <c r="B269" s="5">
        <v>1112</v>
      </c>
      <c r="C269" s="6">
        <v>45072</v>
      </c>
      <c r="D269" s="6">
        <v>45072</v>
      </c>
      <c r="E269" s="5" t="s">
        <v>103</v>
      </c>
      <c r="F269" s="5" t="s">
        <v>82</v>
      </c>
      <c r="G269" s="5" t="s">
        <v>96</v>
      </c>
      <c r="H269" s="5" t="s">
        <v>108</v>
      </c>
      <c r="I269" s="5" t="s">
        <v>97</v>
      </c>
      <c r="J269" s="5" t="s">
        <v>105</v>
      </c>
      <c r="K269" s="5" t="s">
        <v>94</v>
      </c>
      <c r="L269" s="5">
        <v>1</v>
      </c>
      <c r="M269" s="5">
        <v>2660.56</v>
      </c>
      <c r="N269" s="5">
        <v>10</v>
      </c>
      <c r="O269" s="5">
        <v>2394.5</v>
      </c>
      <c r="P269">
        <f t="shared" si="52"/>
        <v>2660.56</v>
      </c>
      <c r="Q269">
        <f t="shared" si="53"/>
        <v>266.056</v>
      </c>
      <c r="R269">
        <f t="shared" si="54"/>
        <v>2394.504</v>
      </c>
      <c r="S269" t="str">
        <f t="shared" si="55"/>
        <v>Low</v>
      </c>
      <c r="T269" t="str">
        <f t="shared" si="56"/>
        <v>Low</v>
      </c>
      <c r="U269" t="str">
        <f t="shared" si="57"/>
        <v>Heavy Discount</v>
      </c>
      <c r="V269" t="str">
        <f t="shared" si="58"/>
        <v>Average</v>
      </c>
      <c r="W269">
        <f t="shared" si="59"/>
        <v>99</v>
      </c>
      <c r="X269">
        <f t="shared" si="60"/>
        <v>106</v>
      </c>
      <c r="Y269">
        <f t="shared" si="61"/>
        <v>28</v>
      </c>
      <c r="Z269" t="str">
        <f t="shared" si="62"/>
        <v>Not Eligible</v>
      </c>
      <c r="AA269" t="str">
        <f t="shared" si="63"/>
        <v>Normal Order</v>
      </c>
      <c r="AB269" t="str">
        <f t="shared" si="64"/>
        <v/>
      </c>
    </row>
    <row r="270" spans="1:28">
      <c r="A270" s="5">
        <v>10269</v>
      </c>
      <c r="B270" s="5">
        <v>1829</v>
      </c>
      <c r="C270" s="6">
        <v>45132</v>
      </c>
      <c r="D270" s="6">
        <v>45132</v>
      </c>
      <c r="E270" s="5" t="s">
        <v>81</v>
      </c>
      <c r="F270" s="5" t="s">
        <v>107</v>
      </c>
      <c r="G270" s="5" t="s">
        <v>90</v>
      </c>
      <c r="H270" s="5" t="s">
        <v>101</v>
      </c>
      <c r="I270" s="5" t="s">
        <v>115</v>
      </c>
      <c r="J270" s="5" t="s">
        <v>119</v>
      </c>
      <c r="K270" s="5" t="s">
        <v>113</v>
      </c>
      <c r="L270" s="5">
        <v>5</v>
      </c>
      <c r="M270" s="5">
        <v>3156.54</v>
      </c>
      <c r="N270" s="5">
        <v>20</v>
      </c>
      <c r="O270" s="5">
        <v>12626.16</v>
      </c>
      <c r="P270">
        <f t="shared" si="52"/>
        <v>15782.7</v>
      </c>
      <c r="Q270">
        <f t="shared" si="53"/>
        <v>3156.54</v>
      </c>
      <c r="R270">
        <f t="shared" si="54"/>
        <v>12626.16</v>
      </c>
      <c r="S270" t="str">
        <f t="shared" si="55"/>
        <v>High</v>
      </c>
      <c r="T270" t="str">
        <f t="shared" si="56"/>
        <v>Medium</v>
      </c>
      <c r="U270" t="str">
        <f t="shared" si="57"/>
        <v>Heavy Discount</v>
      </c>
      <c r="V270" t="str">
        <f t="shared" si="58"/>
        <v>Excellent Sales</v>
      </c>
      <c r="W270">
        <f t="shared" si="59"/>
        <v>99</v>
      </c>
      <c r="X270">
        <f t="shared" si="60"/>
        <v>106</v>
      </c>
      <c r="Y270">
        <f t="shared" si="61"/>
        <v>28</v>
      </c>
      <c r="Z270" t="str">
        <f t="shared" si="62"/>
        <v>Not Eligible</v>
      </c>
      <c r="AA270" t="str">
        <f t="shared" si="63"/>
        <v>Prriority Order</v>
      </c>
      <c r="AB270" t="str">
        <f t="shared" si="64"/>
        <v>Online</v>
      </c>
    </row>
    <row r="271" spans="1:28">
      <c r="A271" s="5">
        <v>10270</v>
      </c>
      <c r="B271" s="5">
        <v>1496</v>
      </c>
      <c r="C271" s="6">
        <v>45086</v>
      </c>
      <c r="D271" s="6">
        <v>45086</v>
      </c>
      <c r="E271" s="5" t="s">
        <v>88</v>
      </c>
      <c r="F271" s="5" t="s">
        <v>95</v>
      </c>
      <c r="G271" s="5" t="s">
        <v>90</v>
      </c>
      <c r="H271" s="5" t="s">
        <v>101</v>
      </c>
      <c r="I271" s="5" t="s">
        <v>97</v>
      </c>
      <c r="J271" s="5" t="s">
        <v>140</v>
      </c>
      <c r="K271" s="5" t="s">
        <v>111</v>
      </c>
      <c r="L271" s="5">
        <v>6</v>
      </c>
      <c r="M271" s="5">
        <v>3197.13</v>
      </c>
      <c r="N271" s="5">
        <v>10</v>
      </c>
      <c r="O271" s="5">
        <v>17264.5</v>
      </c>
      <c r="P271">
        <f t="shared" si="52"/>
        <v>19182.78</v>
      </c>
      <c r="Q271">
        <f t="shared" si="53"/>
        <v>1918.278</v>
      </c>
      <c r="R271">
        <f t="shared" si="54"/>
        <v>17264.502</v>
      </c>
      <c r="S271" t="str">
        <f t="shared" si="55"/>
        <v>High</v>
      </c>
      <c r="T271" t="str">
        <f t="shared" si="56"/>
        <v>High</v>
      </c>
      <c r="U271" t="str">
        <f t="shared" si="57"/>
        <v>Heavy Discount</v>
      </c>
      <c r="V271" t="str">
        <f t="shared" si="58"/>
        <v>Excellent Sales</v>
      </c>
      <c r="W271">
        <f t="shared" si="59"/>
        <v>99</v>
      </c>
      <c r="X271">
        <f t="shared" si="60"/>
        <v>106</v>
      </c>
      <c r="Y271">
        <f t="shared" si="61"/>
        <v>27</v>
      </c>
      <c r="Z271" t="str">
        <f t="shared" si="62"/>
        <v>Not Eligible</v>
      </c>
      <c r="AA271" t="str">
        <f t="shared" si="63"/>
        <v>Prriority Order</v>
      </c>
      <c r="AB271" t="str">
        <f t="shared" si="64"/>
        <v>Online</v>
      </c>
    </row>
    <row r="272" spans="1:28">
      <c r="A272" s="5">
        <v>10271</v>
      </c>
      <c r="B272" s="5">
        <v>1441</v>
      </c>
      <c r="C272" s="6">
        <v>45072</v>
      </c>
      <c r="D272" s="6">
        <v>45072</v>
      </c>
      <c r="E272" s="5" t="s">
        <v>106</v>
      </c>
      <c r="F272" s="5" t="s">
        <v>82</v>
      </c>
      <c r="G272" s="5" t="s">
        <v>96</v>
      </c>
      <c r="H272" s="5" t="s">
        <v>91</v>
      </c>
      <c r="I272" s="5" t="s">
        <v>85</v>
      </c>
      <c r="J272" s="5" t="s">
        <v>141</v>
      </c>
      <c r="K272" s="5" t="s">
        <v>113</v>
      </c>
      <c r="L272" s="5">
        <v>3</v>
      </c>
      <c r="M272" s="5">
        <v>2469.51</v>
      </c>
      <c r="N272" s="5">
        <v>0</v>
      </c>
      <c r="O272" s="5">
        <v>7408.53</v>
      </c>
      <c r="P272">
        <f t="shared" si="52"/>
        <v>7408.53</v>
      </c>
      <c r="Q272">
        <f t="shared" si="53"/>
        <v>0</v>
      </c>
      <c r="R272">
        <f t="shared" si="54"/>
        <v>7408.53</v>
      </c>
      <c r="S272" t="str">
        <f t="shared" si="55"/>
        <v>Low</v>
      </c>
      <c r="T272" t="str">
        <f t="shared" si="56"/>
        <v>Low</v>
      </c>
      <c r="U272" t="str">
        <f t="shared" si="57"/>
        <v>Normal Discount</v>
      </c>
      <c r="V272" t="str">
        <f t="shared" si="58"/>
        <v>Excellent Sales</v>
      </c>
      <c r="W272">
        <f t="shared" si="59"/>
        <v>99</v>
      </c>
      <c r="X272">
        <f t="shared" si="60"/>
        <v>106</v>
      </c>
      <c r="Y272">
        <f t="shared" si="61"/>
        <v>27</v>
      </c>
      <c r="Z272" t="str">
        <f t="shared" si="62"/>
        <v>Eligible</v>
      </c>
      <c r="AA272" t="str">
        <f t="shared" si="63"/>
        <v>Prriority Order</v>
      </c>
      <c r="AB272" t="str">
        <f t="shared" si="64"/>
        <v/>
      </c>
    </row>
    <row r="273" spans="1:28">
      <c r="A273" s="5">
        <v>10272</v>
      </c>
      <c r="B273" s="5">
        <v>1563</v>
      </c>
      <c r="C273" s="6">
        <v>45241</v>
      </c>
      <c r="D273" s="6">
        <v>45241</v>
      </c>
      <c r="E273" s="5" t="s">
        <v>88</v>
      </c>
      <c r="F273" s="5" t="s">
        <v>82</v>
      </c>
      <c r="G273" s="5" t="s">
        <v>83</v>
      </c>
      <c r="H273" s="5" t="s">
        <v>108</v>
      </c>
      <c r="I273" s="5" t="s">
        <v>97</v>
      </c>
      <c r="J273" s="5" t="s">
        <v>114</v>
      </c>
      <c r="K273" s="5" t="s">
        <v>113</v>
      </c>
      <c r="L273" s="5">
        <v>9</v>
      </c>
      <c r="M273" s="5">
        <v>2119.81</v>
      </c>
      <c r="N273" s="5">
        <v>10</v>
      </c>
      <c r="O273" s="5">
        <v>17170.46</v>
      </c>
      <c r="P273">
        <f t="shared" si="52"/>
        <v>19078.29</v>
      </c>
      <c r="Q273">
        <f t="shared" si="53"/>
        <v>1907.829</v>
      </c>
      <c r="R273">
        <f t="shared" si="54"/>
        <v>17170.461</v>
      </c>
      <c r="S273" t="str">
        <f t="shared" si="55"/>
        <v>High</v>
      </c>
      <c r="T273" t="str">
        <f t="shared" si="56"/>
        <v>High</v>
      </c>
      <c r="U273" t="str">
        <f t="shared" si="57"/>
        <v>Heavy Discount</v>
      </c>
      <c r="V273" t="str">
        <f t="shared" si="58"/>
        <v>Excellent Sales</v>
      </c>
      <c r="W273">
        <f t="shared" si="59"/>
        <v>99</v>
      </c>
      <c r="X273">
        <f t="shared" si="60"/>
        <v>106</v>
      </c>
      <c r="Y273">
        <f t="shared" si="61"/>
        <v>27</v>
      </c>
      <c r="Z273" t="str">
        <f t="shared" si="62"/>
        <v>Not Eligible</v>
      </c>
      <c r="AA273" t="str">
        <f t="shared" si="63"/>
        <v>Prriority Order</v>
      </c>
      <c r="AB273" t="str">
        <f t="shared" si="64"/>
        <v>Online</v>
      </c>
    </row>
    <row r="274" spans="1:28">
      <c r="A274" s="5">
        <v>10273</v>
      </c>
      <c r="B274" s="5">
        <v>1267</v>
      </c>
      <c r="C274" s="6">
        <v>45100</v>
      </c>
      <c r="D274" s="6">
        <v>45100</v>
      </c>
      <c r="E274" s="5" t="s">
        <v>112</v>
      </c>
      <c r="F274" s="5" t="s">
        <v>127</v>
      </c>
      <c r="G274" s="5" t="s">
        <v>96</v>
      </c>
      <c r="H274" s="5" t="s">
        <v>84</v>
      </c>
      <c r="I274" s="5" t="s">
        <v>97</v>
      </c>
      <c r="J274" s="5" t="s">
        <v>105</v>
      </c>
      <c r="K274" s="5" t="s">
        <v>111</v>
      </c>
      <c r="L274" s="5">
        <v>6</v>
      </c>
      <c r="M274" s="5">
        <v>384.88</v>
      </c>
      <c r="N274" s="5">
        <v>5</v>
      </c>
      <c r="O274" s="5">
        <v>2193.82</v>
      </c>
      <c r="P274">
        <f t="shared" si="52"/>
        <v>2309.28</v>
      </c>
      <c r="Q274">
        <f t="shared" si="53"/>
        <v>115.464</v>
      </c>
      <c r="R274">
        <f t="shared" si="54"/>
        <v>2193.816</v>
      </c>
      <c r="S274" t="str">
        <f t="shared" si="55"/>
        <v>High</v>
      </c>
      <c r="T274" t="str">
        <f t="shared" si="56"/>
        <v>High</v>
      </c>
      <c r="U274" t="str">
        <f t="shared" si="57"/>
        <v>Heavy Discount</v>
      </c>
      <c r="V274" t="str">
        <f t="shared" si="58"/>
        <v>Average</v>
      </c>
      <c r="W274">
        <f t="shared" si="59"/>
        <v>99</v>
      </c>
      <c r="X274">
        <f t="shared" si="60"/>
        <v>106</v>
      </c>
      <c r="Y274">
        <f t="shared" si="61"/>
        <v>27</v>
      </c>
      <c r="Z274" t="str">
        <f t="shared" si="62"/>
        <v>Not Eligible</v>
      </c>
      <c r="AA274" t="str">
        <f t="shared" si="63"/>
        <v>Prriority Order</v>
      </c>
      <c r="AB274" t="str">
        <f t="shared" si="64"/>
        <v/>
      </c>
    </row>
    <row r="275" spans="1:28">
      <c r="A275" s="5">
        <v>10274</v>
      </c>
      <c r="B275" s="5">
        <v>1509</v>
      </c>
      <c r="C275" s="6">
        <v>45241</v>
      </c>
      <c r="D275" s="6">
        <v>45241</v>
      </c>
      <c r="E275" s="5" t="s">
        <v>103</v>
      </c>
      <c r="F275" s="5" t="s">
        <v>82</v>
      </c>
      <c r="G275" s="5" t="s">
        <v>90</v>
      </c>
      <c r="H275" s="5" t="s">
        <v>110</v>
      </c>
      <c r="I275" s="5" t="s">
        <v>123</v>
      </c>
      <c r="J275" s="5" t="s">
        <v>135</v>
      </c>
      <c r="K275" s="5" t="s">
        <v>99</v>
      </c>
      <c r="L275" s="5">
        <v>4</v>
      </c>
      <c r="M275" s="5">
        <v>1258.15</v>
      </c>
      <c r="N275" s="5">
        <v>0</v>
      </c>
      <c r="O275" s="5">
        <v>5032.6</v>
      </c>
      <c r="P275">
        <f t="shared" si="52"/>
        <v>5032.6</v>
      </c>
      <c r="Q275">
        <f t="shared" si="53"/>
        <v>0</v>
      </c>
      <c r="R275">
        <f t="shared" si="54"/>
        <v>5032.6</v>
      </c>
      <c r="S275" t="str">
        <f t="shared" si="55"/>
        <v>Low</v>
      </c>
      <c r="T275" t="str">
        <f t="shared" si="56"/>
        <v>Low</v>
      </c>
      <c r="U275" t="str">
        <f t="shared" si="57"/>
        <v>Normal Discount</v>
      </c>
      <c r="V275" t="str">
        <f t="shared" si="58"/>
        <v>Good</v>
      </c>
      <c r="W275">
        <f t="shared" si="59"/>
        <v>99</v>
      </c>
      <c r="X275">
        <f t="shared" si="60"/>
        <v>106</v>
      </c>
      <c r="Y275">
        <f t="shared" si="61"/>
        <v>27</v>
      </c>
      <c r="Z275" t="str">
        <f t="shared" si="62"/>
        <v>Eligible</v>
      </c>
      <c r="AA275" t="str">
        <f t="shared" si="63"/>
        <v>Normal Order</v>
      </c>
      <c r="AB275" t="str">
        <f t="shared" si="64"/>
        <v>Online</v>
      </c>
    </row>
    <row r="276" spans="1:28">
      <c r="A276" s="5">
        <v>10275</v>
      </c>
      <c r="B276" s="5">
        <v>1806</v>
      </c>
      <c r="C276" s="6">
        <v>44951</v>
      </c>
      <c r="D276" s="6">
        <v>44951</v>
      </c>
      <c r="E276" s="5" t="s">
        <v>82</v>
      </c>
      <c r="F276" s="5" t="s">
        <v>127</v>
      </c>
      <c r="G276" s="5" t="s">
        <v>90</v>
      </c>
      <c r="H276" s="5" t="s">
        <v>91</v>
      </c>
      <c r="I276" s="5" t="s">
        <v>123</v>
      </c>
      <c r="J276" s="5" t="s">
        <v>139</v>
      </c>
      <c r="K276" s="5" t="s">
        <v>99</v>
      </c>
      <c r="L276" s="5">
        <v>7</v>
      </c>
      <c r="M276" s="5">
        <v>509.1</v>
      </c>
      <c r="N276" s="5">
        <v>15</v>
      </c>
      <c r="O276" s="5">
        <v>3029.14</v>
      </c>
      <c r="P276">
        <f t="shared" si="52"/>
        <v>3563.7</v>
      </c>
      <c r="Q276">
        <f t="shared" si="53"/>
        <v>534.555</v>
      </c>
      <c r="R276">
        <f t="shared" si="54"/>
        <v>3029.145</v>
      </c>
      <c r="S276" t="str">
        <f t="shared" si="55"/>
        <v>High</v>
      </c>
      <c r="T276" t="str">
        <f t="shared" si="56"/>
        <v>High</v>
      </c>
      <c r="U276" t="str">
        <f t="shared" si="57"/>
        <v>Heavy Discount</v>
      </c>
      <c r="V276" t="str">
        <f t="shared" si="58"/>
        <v>Average</v>
      </c>
      <c r="W276">
        <f t="shared" si="59"/>
        <v>99</v>
      </c>
      <c r="X276">
        <f t="shared" si="60"/>
        <v>106</v>
      </c>
      <c r="Y276">
        <f t="shared" si="61"/>
        <v>27</v>
      </c>
      <c r="Z276" t="str">
        <f t="shared" si="62"/>
        <v>Not Eligible</v>
      </c>
      <c r="AA276" t="str">
        <f t="shared" si="63"/>
        <v>Prriority Order</v>
      </c>
      <c r="AB276" t="str">
        <f t="shared" si="64"/>
        <v>Online</v>
      </c>
    </row>
    <row r="277" spans="1:28">
      <c r="A277" s="5">
        <v>10276</v>
      </c>
      <c r="B277" s="5">
        <v>1385</v>
      </c>
      <c r="C277" s="6">
        <v>45009</v>
      </c>
      <c r="D277" s="6">
        <v>45009</v>
      </c>
      <c r="E277" s="5" t="s">
        <v>88</v>
      </c>
      <c r="F277" s="5" t="s">
        <v>89</v>
      </c>
      <c r="G277" s="5" t="s">
        <v>90</v>
      </c>
      <c r="H277" s="5" t="s">
        <v>110</v>
      </c>
      <c r="I277" s="5" t="s">
        <v>123</v>
      </c>
      <c r="J277" s="5" t="s">
        <v>124</v>
      </c>
      <c r="K277" s="5" t="s">
        <v>113</v>
      </c>
      <c r="L277" s="5">
        <v>8</v>
      </c>
      <c r="M277" s="5">
        <v>3860.72</v>
      </c>
      <c r="N277" s="5">
        <v>20</v>
      </c>
      <c r="O277" s="5">
        <v>24708.61</v>
      </c>
      <c r="P277">
        <f t="shared" si="52"/>
        <v>30885.76</v>
      </c>
      <c r="Q277">
        <f t="shared" si="53"/>
        <v>6177.152</v>
      </c>
      <c r="R277">
        <f t="shared" si="54"/>
        <v>24708.608</v>
      </c>
      <c r="S277" t="str">
        <f t="shared" si="55"/>
        <v>High</v>
      </c>
      <c r="T277" t="str">
        <f t="shared" si="56"/>
        <v>High</v>
      </c>
      <c r="U277" t="str">
        <f t="shared" si="57"/>
        <v>Heavy Discount</v>
      </c>
      <c r="V277" t="str">
        <f t="shared" si="58"/>
        <v>Excellent Sales</v>
      </c>
      <c r="W277">
        <f t="shared" si="59"/>
        <v>99</v>
      </c>
      <c r="X277">
        <f t="shared" si="60"/>
        <v>106</v>
      </c>
      <c r="Y277">
        <f t="shared" si="61"/>
        <v>27</v>
      </c>
      <c r="Z277" t="str">
        <f t="shared" si="62"/>
        <v>Not Eligible</v>
      </c>
      <c r="AA277" t="str">
        <f t="shared" si="63"/>
        <v>Prriority Order</v>
      </c>
      <c r="AB277" t="str">
        <f t="shared" si="64"/>
        <v>Online</v>
      </c>
    </row>
    <row r="278" spans="1:28">
      <c r="A278" s="5">
        <v>10277</v>
      </c>
      <c r="B278" s="5">
        <v>1386</v>
      </c>
      <c r="C278" s="6">
        <v>45001</v>
      </c>
      <c r="D278" s="6">
        <v>45001</v>
      </c>
      <c r="E278" s="5" t="s">
        <v>106</v>
      </c>
      <c r="F278" s="5" t="s">
        <v>107</v>
      </c>
      <c r="G278" s="5" t="s">
        <v>96</v>
      </c>
      <c r="H278" s="5" t="s">
        <v>84</v>
      </c>
      <c r="I278" s="5" t="s">
        <v>92</v>
      </c>
      <c r="J278" s="5" t="s">
        <v>144</v>
      </c>
      <c r="K278" s="5" t="s">
        <v>111</v>
      </c>
      <c r="L278" s="5">
        <v>9</v>
      </c>
      <c r="M278" s="5">
        <v>670.06</v>
      </c>
      <c r="N278" s="5">
        <v>20</v>
      </c>
      <c r="O278" s="5">
        <v>4824.43</v>
      </c>
      <c r="P278">
        <f t="shared" si="52"/>
        <v>6030.54</v>
      </c>
      <c r="Q278">
        <f t="shared" si="53"/>
        <v>1206.108</v>
      </c>
      <c r="R278">
        <f t="shared" si="54"/>
        <v>4824.432</v>
      </c>
      <c r="S278" t="str">
        <f t="shared" si="55"/>
        <v>High</v>
      </c>
      <c r="T278" t="str">
        <f t="shared" si="56"/>
        <v>High</v>
      </c>
      <c r="U278" t="str">
        <f t="shared" si="57"/>
        <v>Heavy Discount</v>
      </c>
      <c r="V278" t="str">
        <f t="shared" si="58"/>
        <v>Good</v>
      </c>
      <c r="W278">
        <f t="shared" si="59"/>
        <v>99</v>
      </c>
      <c r="X278">
        <f t="shared" si="60"/>
        <v>106</v>
      </c>
      <c r="Y278">
        <f t="shared" si="61"/>
        <v>27</v>
      </c>
      <c r="Z278" t="str">
        <f t="shared" si="62"/>
        <v>Not Eligible</v>
      </c>
      <c r="AA278" t="str">
        <f t="shared" si="63"/>
        <v>Prriority Order</v>
      </c>
      <c r="AB278" t="str">
        <f t="shared" si="64"/>
        <v/>
      </c>
    </row>
    <row r="279" spans="1:28">
      <c r="A279" s="5">
        <v>10278</v>
      </c>
      <c r="B279" s="5">
        <v>1112</v>
      </c>
      <c r="C279" s="6">
        <v>45061</v>
      </c>
      <c r="D279" s="6">
        <v>45061</v>
      </c>
      <c r="E279" s="5" t="s">
        <v>112</v>
      </c>
      <c r="F279" s="5" t="s">
        <v>127</v>
      </c>
      <c r="G279" s="5" t="s">
        <v>83</v>
      </c>
      <c r="H279" s="5" t="s">
        <v>84</v>
      </c>
      <c r="I279" s="5" t="s">
        <v>85</v>
      </c>
      <c r="J279" s="5" t="s">
        <v>109</v>
      </c>
      <c r="K279" s="5" t="s">
        <v>111</v>
      </c>
      <c r="L279" s="5">
        <v>6</v>
      </c>
      <c r="M279" s="5">
        <v>734.34</v>
      </c>
      <c r="N279" s="5">
        <v>10</v>
      </c>
      <c r="O279" s="5">
        <v>3965.44</v>
      </c>
      <c r="P279">
        <f t="shared" si="52"/>
        <v>4406.04</v>
      </c>
      <c r="Q279">
        <f t="shared" si="53"/>
        <v>440.604</v>
      </c>
      <c r="R279">
        <f t="shared" si="54"/>
        <v>3965.436</v>
      </c>
      <c r="S279" t="str">
        <f t="shared" si="55"/>
        <v>High</v>
      </c>
      <c r="T279" t="str">
        <f t="shared" si="56"/>
        <v>High</v>
      </c>
      <c r="U279" t="str">
        <f t="shared" si="57"/>
        <v>Heavy Discount</v>
      </c>
      <c r="V279" t="str">
        <f t="shared" si="58"/>
        <v>Average</v>
      </c>
      <c r="W279">
        <f t="shared" si="59"/>
        <v>99</v>
      </c>
      <c r="X279">
        <f t="shared" si="60"/>
        <v>106</v>
      </c>
      <c r="Y279">
        <f t="shared" si="61"/>
        <v>27</v>
      </c>
      <c r="Z279" t="str">
        <f t="shared" si="62"/>
        <v>Not Eligible</v>
      </c>
      <c r="AA279" t="str">
        <f t="shared" si="63"/>
        <v>Prriority Order</v>
      </c>
      <c r="AB279" t="str">
        <f t="shared" si="64"/>
        <v>Online</v>
      </c>
    </row>
    <row r="280" spans="1:28">
      <c r="A280" s="5">
        <v>10279</v>
      </c>
      <c r="B280" s="5">
        <v>1612</v>
      </c>
      <c r="C280" s="6">
        <v>45018</v>
      </c>
      <c r="D280" s="6">
        <v>45018</v>
      </c>
      <c r="E280" s="5" t="s">
        <v>100</v>
      </c>
      <c r="F280" s="5" t="s">
        <v>95</v>
      </c>
      <c r="G280" s="5" t="s">
        <v>90</v>
      </c>
      <c r="H280" s="5" t="s">
        <v>101</v>
      </c>
      <c r="I280" s="5" t="s">
        <v>123</v>
      </c>
      <c r="J280" s="5" t="s">
        <v>135</v>
      </c>
      <c r="K280" s="5" t="s">
        <v>94</v>
      </c>
      <c r="L280" s="5">
        <v>6</v>
      </c>
      <c r="M280" s="5">
        <v>3574.87</v>
      </c>
      <c r="N280" s="5">
        <v>0</v>
      </c>
      <c r="O280" s="5">
        <v>21449.22</v>
      </c>
      <c r="P280">
        <f t="shared" si="52"/>
        <v>21449.22</v>
      </c>
      <c r="Q280">
        <f t="shared" si="53"/>
        <v>0</v>
      </c>
      <c r="R280">
        <f t="shared" si="54"/>
        <v>21449.22</v>
      </c>
      <c r="S280" t="str">
        <f t="shared" si="55"/>
        <v>High</v>
      </c>
      <c r="T280" t="str">
        <f t="shared" si="56"/>
        <v>High</v>
      </c>
      <c r="U280" t="str">
        <f t="shared" si="57"/>
        <v>Normal Discount</v>
      </c>
      <c r="V280" t="str">
        <f t="shared" si="58"/>
        <v>Excellent Sales</v>
      </c>
      <c r="W280">
        <f t="shared" si="59"/>
        <v>99</v>
      </c>
      <c r="X280">
        <f t="shared" si="60"/>
        <v>106</v>
      </c>
      <c r="Y280">
        <f t="shared" si="61"/>
        <v>27</v>
      </c>
      <c r="Z280" t="str">
        <f t="shared" si="62"/>
        <v>Eligible</v>
      </c>
      <c r="AA280" t="str">
        <f t="shared" si="63"/>
        <v>Prriority Order</v>
      </c>
      <c r="AB280" t="str">
        <f t="shared" si="64"/>
        <v>Online</v>
      </c>
    </row>
    <row r="281" spans="1:28">
      <c r="A281" s="5">
        <v>10280</v>
      </c>
      <c r="B281" s="5">
        <v>1624</v>
      </c>
      <c r="C281" s="6">
        <v>45149</v>
      </c>
      <c r="D281" s="6">
        <v>45149</v>
      </c>
      <c r="E281" s="5" t="s">
        <v>112</v>
      </c>
      <c r="F281" s="5" t="s">
        <v>107</v>
      </c>
      <c r="G281" s="5" t="s">
        <v>90</v>
      </c>
      <c r="H281" s="5" t="s">
        <v>84</v>
      </c>
      <c r="I281" s="5" t="s">
        <v>115</v>
      </c>
      <c r="J281" s="5" t="s">
        <v>143</v>
      </c>
      <c r="K281" s="5" t="s">
        <v>99</v>
      </c>
      <c r="L281" s="5">
        <v>8</v>
      </c>
      <c r="M281" s="5">
        <v>3784.12</v>
      </c>
      <c r="N281" s="5">
        <v>15</v>
      </c>
      <c r="O281" s="5">
        <v>25732.02</v>
      </c>
      <c r="P281">
        <f t="shared" si="52"/>
        <v>30272.96</v>
      </c>
      <c r="Q281">
        <f t="shared" si="53"/>
        <v>4540.944</v>
      </c>
      <c r="R281">
        <f t="shared" si="54"/>
        <v>25732.016</v>
      </c>
      <c r="S281" t="str">
        <f t="shared" si="55"/>
        <v>High</v>
      </c>
      <c r="T281" t="str">
        <f t="shared" si="56"/>
        <v>High</v>
      </c>
      <c r="U281" t="str">
        <f t="shared" si="57"/>
        <v>Heavy Discount</v>
      </c>
      <c r="V281" t="str">
        <f t="shared" si="58"/>
        <v>Excellent Sales</v>
      </c>
      <c r="W281">
        <f t="shared" si="59"/>
        <v>99</v>
      </c>
      <c r="X281">
        <f t="shared" si="60"/>
        <v>106</v>
      </c>
      <c r="Y281">
        <f t="shared" si="61"/>
        <v>27</v>
      </c>
      <c r="Z281" t="str">
        <f t="shared" si="62"/>
        <v>Not Eligible</v>
      </c>
      <c r="AA281" t="str">
        <f t="shared" si="63"/>
        <v>Prriority Order</v>
      </c>
      <c r="AB281" t="str">
        <f t="shared" si="64"/>
        <v>Online</v>
      </c>
    </row>
    <row r="282" spans="1:28">
      <c r="A282" s="5">
        <v>10281</v>
      </c>
      <c r="B282" s="5">
        <v>1951</v>
      </c>
      <c r="C282" s="6">
        <v>45240</v>
      </c>
      <c r="D282" s="6">
        <v>45240</v>
      </c>
      <c r="E282" s="5" t="s">
        <v>112</v>
      </c>
      <c r="F282" s="5" t="s">
        <v>127</v>
      </c>
      <c r="G282" s="5" t="s">
        <v>96</v>
      </c>
      <c r="H282" s="5" t="s">
        <v>110</v>
      </c>
      <c r="I282" s="5" t="s">
        <v>92</v>
      </c>
      <c r="J282" s="5" t="s">
        <v>144</v>
      </c>
      <c r="K282" s="5" t="s">
        <v>87</v>
      </c>
      <c r="L282" s="5">
        <v>5</v>
      </c>
      <c r="M282" s="5">
        <v>3098.44</v>
      </c>
      <c r="N282" s="5">
        <v>0</v>
      </c>
      <c r="O282" s="5">
        <v>15492.2</v>
      </c>
      <c r="P282">
        <f t="shared" si="52"/>
        <v>15492.2</v>
      </c>
      <c r="Q282">
        <f t="shared" si="53"/>
        <v>0</v>
      </c>
      <c r="R282">
        <f t="shared" si="54"/>
        <v>15492.2</v>
      </c>
      <c r="S282" t="str">
        <f t="shared" si="55"/>
        <v>High</v>
      </c>
      <c r="T282" t="str">
        <f t="shared" si="56"/>
        <v>Medium</v>
      </c>
      <c r="U282" t="str">
        <f t="shared" si="57"/>
        <v>Normal Discount</v>
      </c>
      <c r="V282" t="str">
        <f t="shared" si="58"/>
        <v>Excellent Sales</v>
      </c>
      <c r="W282">
        <f t="shared" si="59"/>
        <v>99</v>
      </c>
      <c r="X282">
        <f t="shared" si="60"/>
        <v>106</v>
      </c>
      <c r="Y282">
        <f t="shared" si="61"/>
        <v>26</v>
      </c>
      <c r="Z282" t="str">
        <f t="shared" si="62"/>
        <v>Eligible</v>
      </c>
      <c r="AA282" t="str">
        <f t="shared" si="63"/>
        <v>Prriority Order</v>
      </c>
      <c r="AB282" t="str">
        <f t="shared" si="64"/>
        <v/>
      </c>
    </row>
    <row r="283" spans="1:28">
      <c r="A283" s="5">
        <v>10282</v>
      </c>
      <c r="B283" s="5">
        <v>1080</v>
      </c>
      <c r="C283" s="6">
        <v>45272</v>
      </c>
      <c r="D283" s="6">
        <v>45272</v>
      </c>
      <c r="E283" s="5" t="s">
        <v>103</v>
      </c>
      <c r="F283" s="5" t="s">
        <v>107</v>
      </c>
      <c r="G283" s="5" t="s">
        <v>83</v>
      </c>
      <c r="H283" s="5" t="s">
        <v>108</v>
      </c>
      <c r="I283" s="5" t="s">
        <v>132</v>
      </c>
      <c r="J283" s="5" t="s">
        <v>142</v>
      </c>
      <c r="K283" s="5" t="s">
        <v>99</v>
      </c>
      <c r="L283" s="5">
        <v>3</v>
      </c>
      <c r="M283" s="5">
        <v>170.81</v>
      </c>
      <c r="N283" s="5">
        <v>20</v>
      </c>
      <c r="O283" s="5">
        <v>409.94</v>
      </c>
      <c r="P283">
        <f t="shared" si="52"/>
        <v>512.43</v>
      </c>
      <c r="Q283">
        <f t="shared" si="53"/>
        <v>102.486</v>
      </c>
      <c r="R283">
        <f t="shared" si="54"/>
        <v>409.944</v>
      </c>
      <c r="S283" t="str">
        <f t="shared" si="55"/>
        <v>Low</v>
      </c>
      <c r="T283" t="str">
        <f t="shared" si="56"/>
        <v>Low</v>
      </c>
      <c r="U283" t="str">
        <f t="shared" si="57"/>
        <v>Heavy Discount</v>
      </c>
      <c r="V283" t="str">
        <f t="shared" si="58"/>
        <v>Average</v>
      </c>
      <c r="W283">
        <f t="shared" si="59"/>
        <v>99</v>
      </c>
      <c r="X283">
        <f t="shared" si="60"/>
        <v>106</v>
      </c>
      <c r="Y283">
        <f t="shared" si="61"/>
        <v>26</v>
      </c>
      <c r="Z283" t="str">
        <f t="shared" si="62"/>
        <v>Not Eligible</v>
      </c>
      <c r="AA283" t="str">
        <f t="shared" si="63"/>
        <v>Normal Order</v>
      </c>
      <c r="AB283" t="str">
        <f t="shared" si="64"/>
        <v>Online</v>
      </c>
    </row>
    <row r="284" spans="1:28">
      <c r="A284" s="5">
        <v>10283</v>
      </c>
      <c r="B284" s="5">
        <v>1698</v>
      </c>
      <c r="C284" s="6">
        <v>45269</v>
      </c>
      <c r="D284" s="6">
        <v>45269</v>
      </c>
      <c r="E284" s="5" t="s">
        <v>82</v>
      </c>
      <c r="F284" s="5" t="s">
        <v>107</v>
      </c>
      <c r="G284" s="5" t="s">
        <v>96</v>
      </c>
      <c r="H284" s="5" t="s">
        <v>108</v>
      </c>
      <c r="I284" s="5" t="s">
        <v>115</v>
      </c>
      <c r="J284" s="5" t="s">
        <v>138</v>
      </c>
      <c r="K284" s="5" t="s">
        <v>99</v>
      </c>
      <c r="L284" s="5">
        <v>3</v>
      </c>
      <c r="M284" s="5">
        <v>155.18</v>
      </c>
      <c r="N284" s="5">
        <v>0</v>
      </c>
      <c r="O284" s="5">
        <v>465.54</v>
      </c>
      <c r="P284">
        <f t="shared" si="52"/>
        <v>465.54</v>
      </c>
      <c r="Q284">
        <f t="shared" si="53"/>
        <v>0</v>
      </c>
      <c r="R284">
        <f t="shared" si="54"/>
        <v>465.54</v>
      </c>
      <c r="S284" t="str">
        <f t="shared" si="55"/>
        <v>Low</v>
      </c>
      <c r="T284" t="str">
        <f t="shared" si="56"/>
        <v>Low</v>
      </c>
      <c r="U284" t="str">
        <f t="shared" si="57"/>
        <v>Normal Discount</v>
      </c>
      <c r="V284" t="str">
        <f t="shared" si="58"/>
        <v>Average</v>
      </c>
      <c r="W284">
        <f t="shared" si="59"/>
        <v>99</v>
      </c>
      <c r="X284">
        <f t="shared" si="60"/>
        <v>106</v>
      </c>
      <c r="Y284">
        <f t="shared" si="61"/>
        <v>26</v>
      </c>
      <c r="Z284" t="str">
        <f t="shared" si="62"/>
        <v>Eligible</v>
      </c>
      <c r="AA284" t="str">
        <f t="shared" si="63"/>
        <v>Normal Order</v>
      </c>
      <c r="AB284" t="str">
        <f t="shared" si="64"/>
        <v/>
      </c>
    </row>
    <row r="285" spans="1:28">
      <c r="A285" s="5">
        <v>10284</v>
      </c>
      <c r="B285" s="5">
        <v>1112</v>
      </c>
      <c r="C285" s="6">
        <v>45093</v>
      </c>
      <c r="D285" s="6">
        <v>45093</v>
      </c>
      <c r="E285" s="5" t="s">
        <v>100</v>
      </c>
      <c r="F285" s="5" t="s">
        <v>107</v>
      </c>
      <c r="G285" s="5" t="s">
        <v>90</v>
      </c>
      <c r="H285" s="5" t="s">
        <v>101</v>
      </c>
      <c r="I285" s="5" t="s">
        <v>115</v>
      </c>
      <c r="J285" s="5" t="s">
        <v>119</v>
      </c>
      <c r="K285" s="5" t="s">
        <v>94</v>
      </c>
      <c r="L285" s="5">
        <v>6</v>
      </c>
      <c r="M285" s="5">
        <v>1605.69</v>
      </c>
      <c r="N285" s="5">
        <v>15</v>
      </c>
      <c r="O285" s="5">
        <v>8189.02</v>
      </c>
      <c r="P285">
        <f t="shared" si="52"/>
        <v>9634.14</v>
      </c>
      <c r="Q285">
        <f t="shared" si="53"/>
        <v>1445.121</v>
      </c>
      <c r="R285">
        <f t="shared" si="54"/>
        <v>8189.019</v>
      </c>
      <c r="S285" t="str">
        <f t="shared" si="55"/>
        <v>High</v>
      </c>
      <c r="T285" t="str">
        <f t="shared" si="56"/>
        <v>High</v>
      </c>
      <c r="U285" t="str">
        <f t="shared" si="57"/>
        <v>Heavy Discount</v>
      </c>
      <c r="V285" t="str">
        <f t="shared" si="58"/>
        <v>Excellent Sales</v>
      </c>
      <c r="W285">
        <f t="shared" si="59"/>
        <v>99</v>
      </c>
      <c r="X285">
        <f t="shared" si="60"/>
        <v>106</v>
      </c>
      <c r="Y285">
        <f t="shared" si="61"/>
        <v>26</v>
      </c>
      <c r="Z285" t="str">
        <f t="shared" si="62"/>
        <v>Not Eligible</v>
      </c>
      <c r="AA285" t="str">
        <f t="shared" si="63"/>
        <v>Prriority Order</v>
      </c>
      <c r="AB285" t="str">
        <f t="shared" si="64"/>
        <v>Online</v>
      </c>
    </row>
    <row r="286" spans="1:28">
      <c r="A286" s="5">
        <v>10285</v>
      </c>
      <c r="B286" s="5">
        <v>1001</v>
      </c>
      <c r="C286" s="6">
        <v>45109</v>
      </c>
      <c r="D286" s="6">
        <v>45109</v>
      </c>
      <c r="E286" s="5" t="s">
        <v>81</v>
      </c>
      <c r="F286" s="5" t="s">
        <v>89</v>
      </c>
      <c r="G286" s="5" t="s">
        <v>83</v>
      </c>
      <c r="H286" s="5" t="s">
        <v>110</v>
      </c>
      <c r="I286" s="5" t="s">
        <v>123</v>
      </c>
      <c r="J286" s="5" t="s">
        <v>131</v>
      </c>
      <c r="K286" s="5" t="s">
        <v>87</v>
      </c>
      <c r="L286" s="5">
        <v>2</v>
      </c>
      <c r="M286" s="5">
        <v>702.07</v>
      </c>
      <c r="N286" s="5">
        <v>10</v>
      </c>
      <c r="O286" s="5">
        <v>1263.73</v>
      </c>
      <c r="P286">
        <f t="shared" si="52"/>
        <v>1404.14</v>
      </c>
      <c r="Q286">
        <f t="shared" si="53"/>
        <v>140.414</v>
      </c>
      <c r="R286">
        <f t="shared" si="54"/>
        <v>1263.726</v>
      </c>
      <c r="S286" t="str">
        <f t="shared" si="55"/>
        <v>Low</v>
      </c>
      <c r="T286" t="str">
        <f t="shared" si="56"/>
        <v>Low</v>
      </c>
      <c r="U286" t="str">
        <f t="shared" si="57"/>
        <v>Heavy Discount</v>
      </c>
      <c r="V286" t="str">
        <f t="shared" si="58"/>
        <v>Average</v>
      </c>
      <c r="W286">
        <f t="shared" si="59"/>
        <v>99</v>
      </c>
      <c r="X286">
        <f t="shared" si="60"/>
        <v>106</v>
      </c>
      <c r="Y286">
        <f t="shared" si="61"/>
        <v>25</v>
      </c>
      <c r="Z286" t="str">
        <f t="shared" si="62"/>
        <v>Not Eligible</v>
      </c>
      <c r="AA286" t="str">
        <f t="shared" si="63"/>
        <v>Normal Order</v>
      </c>
      <c r="AB286" t="str">
        <f t="shared" si="64"/>
        <v>Online</v>
      </c>
    </row>
    <row r="287" spans="1:28">
      <c r="A287" s="5">
        <v>10286</v>
      </c>
      <c r="B287" s="5">
        <v>1641</v>
      </c>
      <c r="C287" s="6">
        <v>45050</v>
      </c>
      <c r="D287" s="6">
        <v>45050</v>
      </c>
      <c r="E287" s="5" t="s">
        <v>81</v>
      </c>
      <c r="F287" s="5" t="s">
        <v>95</v>
      </c>
      <c r="G287" s="5" t="s">
        <v>83</v>
      </c>
      <c r="H287" s="5" t="s">
        <v>110</v>
      </c>
      <c r="I287" s="5" t="s">
        <v>132</v>
      </c>
      <c r="J287" s="5" t="s">
        <v>133</v>
      </c>
      <c r="K287" s="5" t="s">
        <v>94</v>
      </c>
      <c r="L287" s="5">
        <v>6</v>
      </c>
      <c r="M287" s="5">
        <v>220.79</v>
      </c>
      <c r="N287" s="5">
        <v>5</v>
      </c>
      <c r="O287" s="5">
        <v>1258.5</v>
      </c>
      <c r="P287">
        <f t="shared" si="52"/>
        <v>1324.74</v>
      </c>
      <c r="Q287">
        <f t="shared" si="53"/>
        <v>66.237</v>
      </c>
      <c r="R287">
        <f t="shared" si="54"/>
        <v>1258.503</v>
      </c>
      <c r="S287" t="str">
        <f t="shared" si="55"/>
        <v>High</v>
      </c>
      <c r="T287" t="str">
        <f t="shared" si="56"/>
        <v>High</v>
      </c>
      <c r="U287" t="str">
        <f t="shared" si="57"/>
        <v>Heavy Discount</v>
      </c>
      <c r="V287" t="str">
        <f t="shared" si="58"/>
        <v>Average</v>
      </c>
      <c r="W287">
        <f t="shared" si="59"/>
        <v>99</v>
      </c>
      <c r="X287">
        <f t="shared" si="60"/>
        <v>106</v>
      </c>
      <c r="Y287">
        <f t="shared" si="61"/>
        <v>25</v>
      </c>
      <c r="Z287" t="str">
        <f t="shared" si="62"/>
        <v>Not Eligible</v>
      </c>
      <c r="AA287" t="str">
        <f t="shared" si="63"/>
        <v>Prriority Order</v>
      </c>
      <c r="AB287" t="str">
        <f t="shared" si="64"/>
        <v>Online</v>
      </c>
    </row>
    <row r="288" spans="1:28">
      <c r="A288" s="5">
        <v>10287</v>
      </c>
      <c r="B288" s="5">
        <v>1219</v>
      </c>
      <c r="C288" s="6">
        <v>45125</v>
      </c>
      <c r="D288" s="6">
        <v>45125</v>
      </c>
      <c r="E288" s="5" t="s">
        <v>88</v>
      </c>
      <c r="F288" s="5" t="s">
        <v>104</v>
      </c>
      <c r="G288" s="5" t="s">
        <v>90</v>
      </c>
      <c r="H288" s="5" t="s">
        <v>84</v>
      </c>
      <c r="I288" s="5" t="s">
        <v>132</v>
      </c>
      <c r="J288" s="5" t="s">
        <v>142</v>
      </c>
      <c r="K288" s="5" t="s">
        <v>87</v>
      </c>
      <c r="L288" s="5">
        <v>6</v>
      </c>
      <c r="M288" s="5">
        <v>1936.66</v>
      </c>
      <c r="N288" s="5">
        <v>0</v>
      </c>
      <c r="O288" s="5">
        <v>11619.96</v>
      </c>
      <c r="P288">
        <f t="shared" si="52"/>
        <v>11619.96</v>
      </c>
      <c r="Q288">
        <f t="shared" si="53"/>
        <v>0</v>
      </c>
      <c r="R288">
        <f t="shared" si="54"/>
        <v>11619.96</v>
      </c>
      <c r="S288" t="str">
        <f t="shared" si="55"/>
        <v>High</v>
      </c>
      <c r="T288" t="str">
        <f t="shared" si="56"/>
        <v>High</v>
      </c>
      <c r="U288" t="str">
        <f t="shared" si="57"/>
        <v>Normal Discount</v>
      </c>
      <c r="V288" t="str">
        <f t="shared" si="58"/>
        <v>Excellent Sales</v>
      </c>
      <c r="W288">
        <f t="shared" si="59"/>
        <v>99</v>
      </c>
      <c r="X288">
        <f t="shared" si="60"/>
        <v>106</v>
      </c>
      <c r="Y288">
        <f t="shared" si="61"/>
        <v>25</v>
      </c>
      <c r="Z288" t="str">
        <f t="shared" si="62"/>
        <v>Eligible</v>
      </c>
      <c r="AA288" t="str">
        <f t="shared" si="63"/>
        <v>Prriority Order</v>
      </c>
      <c r="AB288" t="str">
        <f t="shared" si="64"/>
        <v>Online</v>
      </c>
    </row>
    <row r="289" spans="1:28">
      <c r="A289" s="5">
        <v>10288</v>
      </c>
      <c r="B289" s="5">
        <v>1565</v>
      </c>
      <c r="C289" s="6">
        <v>45256</v>
      </c>
      <c r="D289" s="6">
        <v>45256</v>
      </c>
      <c r="E289" s="5" t="s">
        <v>112</v>
      </c>
      <c r="F289" s="5" t="s">
        <v>104</v>
      </c>
      <c r="G289" s="5" t="s">
        <v>83</v>
      </c>
      <c r="H289" s="5" t="s">
        <v>110</v>
      </c>
      <c r="I289" s="5" t="s">
        <v>92</v>
      </c>
      <c r="J289" s="5" t="s">
        <v>102</v>
      </c>
      <c r="K289" s="5" t="s">
        <v>113</v>
      </c>
      <c r="L289" s="5">
        <v>8</v>
      </c>
      <c r="M289" s="5">
        <v>3780.79</v>
      </c>
      <c r="N289" s="5">
        <v>5</v>
      </c>
      <c r="O289" s="5">
        <v>28734</v>
      </c>
      <c r="P289">
        <f t="shared" si="52"/>
        <v>30246.32</v>
      </c>
      <c r="Q289">
        <f t="shared" si="53"/>
        <v>1512.316</v>
      </c>
      <c r="R289">
        <f t="shared" si="54"/>
        <v>28734.004</v>
      </c>
      <c r="S289" t="str">
        <f t="shared" si="55"/>
        <v>High</v>
      </c>
      <c r="T289" t="str">
        <f t="shared" si="56"/>
        <v>High</v>
      </c>
      <c r="U289" t="str">
        <f t="shared" si="57"/>
        <v>Heavy Discount</v>
      </c>
      <c r="V289" t="str">
        <f t="shared" si="58"/>
        <v>Excellent Sales</v>
      </c>
      <c r="W289">
        <f t="shared" si="59"/>
        <v>99</v>
      </c>
      <c r="X289">
        <f t="shared" si="60"/>
        <v>106</v>
      </c>
      <c r="Y289">
        <f t="shared" si="61"/>
        <v>25</v>
      </c>
      <c r="Z289" t="str">
        <f t="shared" si="62"/>
        <v>Not Eligible</v>
      </c>
      <c r="AA289" t="str">
        <f t="shared" si="63"/>
        <v>Prriority Order</v>
      </c>
      <c r="AB289" t="str">
        <f t="shared" si="64"/>
        <v>Online</v>
      </c>
    </row>
    <row r="290" spans="1:28">
      <c r="A290" s="5">
        <v>10289</v>
      </c>
      <c r="B290" s="5">
        <v>1854</v>
      </c>
      <c r="C290" s="6">
        <v>45014</v>
      </c>
      <c r="D290" s="6">
        <v>45014</v>
      </c>
      <c r="E290" s="5" t="s">
        <v>103</v>
      </c>
      <c r="F290" s="5" t="s">
        <v>127</v>
      </c>
      <c r="G290" s="5" t="s">
        <v>83</v>
      </c>
      <c r="H290" s="5" t="s">
        <v>91</v>
      </c>
      <c r="I290" s="5" t="s">
        <v>132</v>
      </c>
      <c r="J290" s="5" t="s">
        <v>133</v>
      </c>
      <c r="K290" s="5" t="s">
        <v>87</v>
      </c>
      <c r="L290" s="5">
        <v>7</v>
      </c>
      <c r="M290" s="5">
        <v>1396.71</v>
      </c>
      <c r="N290" s="5">
        <v>20</v>
      </c>
      <c r="O290" s="5">
        <v>7821.58</v>
      </c>
      <c r="P290">
        <f t="shared" si="52"/>
        <v>9776.97</v>
      </c>
      <c r="Q290">
        <f t="shared" si="53"/>
        <v>1955.394</v>
      </c>
      <c r="R290">
        <f t="shared" si="54"/>
        <v>7821.576</v>
      </c>
      <c r="S290" t="str">
        <f t="shared" si="55"/>
        <v>High</v>
      </c>
      <c r="T290" t="str">
        <f t="shared" si="56"/>
        <v>High</v>
      </c>
      <c r="U290" t="str">
        <f t="shared" si="57"/>
        <v>Heavy Discount</v>
      </c>
      <c r="V290" t="str">
        <f t="shared" si="58"/>
        <v>Excellent Sales</v>
      </c>
      <c r="W290">
        <f t="shared" si="59"/>
        <v>99</v>
      </c>
      <c r="X290">
        <f t="shared" si="60"/>
        <v>106</v>
      </c>
      <c r="Y290">
        <f t="shared" si="61"/>
        <v>25</v>
      </c>
      <c r="Z290" t="str">
        <f t="shared" si="62"/>
        <v>Not Eligible</v>
      </c>
      <c r="AA290" t="str">
        <f t="shared" si="63"/>
        <v>Prriority Order</v>
      </c>
      <c r="AB290" t="str">
        <f t="shared" si="64"/>
        <v>Online</v>
      </c>
    </row>
    <row r="291" spans="1:28">
      <c r="A291" s="5">
        <v>10290</v>
      </c>
      <c r="B291" s="5">
        <v>1996</v>
      </c>
      <c r="C291" s="6">
        <v>45218</v>
      </c>
      <c r="D291" s="6">
        <v>45218</v>
      </c>
      <c r="E291" s="5" t="s">
        <v>103</v>
      </c>
      <c r="F291" s="5" t="s">
        <v>107</v>
      </c>
      <c r="G291" s="5" t="s">
        <v>96</v>
      </c>
      <c r="H291" s="5" t="s">
        <v>84</v>
      </c>
      <c r="I291" s="5" t="s">
        <v>85</v>
      </c>
      <c r="J291" s="5" t="s">
        <v>86</v>
      </c>
      <c r="K291" s="5" t="s">
        <v>94</v>
      </c>
      <c r="L291" s="5">
        <v>8</v>
      </c>
      <c r="M291" s="5">
        <v>2695.39</v>
      </c>
      <c r="N291" s="5">
        <v>10</v>
      </c>
      <c r="O291" s="5">
        <v>19406.81</v>
      </c>
      <c r="P291">
        <f t="shared" si="52"/>
        <v>21563.12</v>
      </c>
      <c r="Q291">
        <f t="shared" si="53"/>
        <v>2156.312</v>
      </c>
      <c r="R291">
        <f t="shared" si="54"/>
        <v>19406.808</v>
      </c>
      <c r="S291" t="str">
        <f t="shared" si="55"/>
        <v>High</v>
      </c>
      <c r="T291" t="str">
        <f t="shared" si="56"/>
        <v>High</v>
      </c>
      <c r="U291" t="str">
        <f t="shared" si="57"/>
        <v>Heavy Discount</v>
      </c>
      <c r="V291" t="str">
        <f t="shared" si="58"/>
        <v>Excellent Sales</v>
      </c>
      <c r="W291">
        <f t="shared" si="59"/>
        <v>99</v>
      </c>
      <c r="X291">
        <f t="shared" si="60"/>
        <v>106</v>
      </c>
      <c r="Y291">
        <f t="shared" si="61"/>
        <v>25</v>
      </c>
      <c r="Z291" t="str">
        <f t="shared" si="62"/>
        <v>Not Eligible</v>
      </c>
      <c r="AA291" t="str">
        <f t="shared" si="63"/>
        <v>Prriority Order</v>
      </c>
      <c r="AB291" t="str">
        <f t="shared" si="64"/>
        <v/>
      </c>
    </row>
    <row r="292" spans="1:28">
      <c r="A292" s="5">
        <v>10291</v>
      </c>
      <c r="B292" s="5">
        <v>1735</v>
      </c>
      <c r="C292" s="6">
        <v>45008</v>
      </c>
      <c r="D292" s="6">
        <v>45008</v>
      </c>
      <c r="E292" s="5" t="s">
        <v>81</v>
      </c>
      <c r="F292" s="5" t="s">
        <v>127</v>
      </c>
      <c r="G292" s="5" t="s">
        <v>90</v>
      </c>
      <c r="H292" s="5" t="s">
        <v>91</v>
      </c>
      <c r="I292" s="5" t="s">
        <v>123</v>
      </c>
      <c r="J292" s="5" t="s">
        <v>124</v>
      </c>
      <c r="K292" s="5" t="s">
        <v>99</v>
      </c>
      <c r="L292" s="5">
        <v>9</v>
      </c>
      <c r="M292" s="5">
        <v>2661.11</v>
      </c>
      <c r="N292" s="5">
        <v>10</v>
      </c>
      <c r="O292" s="5">
        <v>21554.99</v>
      </c>
      <c r="P292">
        <f t="shared" si="52"/>
        <v>23949.99</v>
      </c>
      <c r="Q292">
        <f t="shared" si="53"/>
        <v>2394.999</v>
      </c>
      <c r="R292">
        <f t="shared" si="54"/>
        <v>21554.991</v>
      </c>
      <c r="S292" t="str">
        <f t="shared" si="55"/>
        <v>High</v>
      </c>
      <c r="T292" t="str">
        <f t="shared" si="56"/>
        <v>High</v>
      </c>
      <c r="U292" t="str">
        <f t="shared" si="57"/>
        <v>Heavy Discount</v>
      </c>
      <c r="V292" t="str">
        <f t="shared" si="58"/>
        <v>Excellent Sales</v>
      </c>
      <c r="W292">
        <f t="shared" si="59"/>
        <v>99</v>
      </c>
      <c r="X292">
        <f t="shared" si="60"/>
        <v>106</v>
      </c>
      <c r="Y292">
        <f t="shared" si="61"/>
        <v>25</v>
      </c>
      <c r="Z292" t="str">
        <f t="shared" si="62"/>
        <v>Not Eligible</v>
      </c>
      <c r="AA292" t="str">
        <f t="shared" si="63"/>
        <v>Prriority Order</v>
      </c>
      <c r="AB292" t="str">
        <f t="shared" si="64"/>
        <v>Online</v>
      </c>
    </row>
    <row r="293" spans="1:28">
      <c r="A293" s="5">
        <v>10292</v>
      </c>
      <c r="B293" s="5">
        <v>1224</v>
      </c>
      <c r="C293" s="6">
        <v>45083</v>
      </c>
      <c r="D293" s="6">
        <v>45083</v>
      </c>
      <c r="E293" s="5" t="s">
        <v>88</v>
      </c>
      <c r="F293" s="5" t="s">
        <v>89</v>
      </c>
      <c r="G293" s="5" t="s">
        <v>90</v>
      </c>
      <c r="H293" s="5" t="s">
        <v>101</v>
      </c>
      <c r="I293" s="5" t="s">
        <v>132</v>
      </c>
      <c r="J293" s="5" t="s">
        <v>142</v>
      </c>
      <c r="K293" s="5" t="s">
        <v>87</v>
      </c>
      <c r="L293" s="5">
        <v>6</v>
      </c>
      <c r="M293" s="5">
        <v>1116.66</v>
      </c>
      <c r="N293" s="5">
        <v>0</v>
      </c>
      <c r="O293" s="5">
        <v>6699.96</v>
      </c>
      <c r="P293">
        <f t="shared" si="52"/>
        <v>6699.96</v>
      </c>
      <c r="Q293">
        <f t="shared" si="53"/>
        <v>0</v>
      </c>
      <c r="R293">
        <f t="shared" si="54"/>
        <v>6699.96</v>
      </c>
      <c r="S293" t="str">
        <f t="shared" si="55"/>
        <v>High</v>
      </c>
      <c r="T293" t="str">
        <f t="shared" si="56"/>
        <v>High</v>
      </c>
      <c r="U293" t="str">
        <f t="shared" si="57"/>
        <v>Normal Discount</v>
      </c>
      <c r="V293" t="str">
        <f t="shared" si="58"/>
        <v>Good</v>
      </c>
      <c r="W293">
        <f t="shared" si="59"/>
        <v>99</v>
      </c>
      <c r="X293">
        <f t="shared" si="60"/>
        <v>106</v>
      </c>
      <c r="Y293">
        <f t="shared" si="61"/>
        <v>25</v>
      </c>
      <c r="Z293" t="str">
        <f t="shared" si="62"/>
        <v>Eligible</v>
      </c>
      <c r="AA293" t="str">
        <f t="shared" si="63"/>
        <v>Prriority Order</v>
      </c>
      <c r="AB293" t="str">
        <f t="shared" si="64"/>
        <v>Online</v>
      </c>
    </row>
    <row r="294" spans="1:28">
      <c r="A294" s="5">
        <v>10293</v>
      </c>
      <c r="B294" s="5">
        <v>1384</v>
      </c>
      <c r="C294" s="6">
        <v>44992</v>
      </c>
      <c r="D294" s="6">
        <v>44992</v>
      </c>
      <c r="E294" s="5" t="s">
        <v>88</v>
      </c>
      <c r="F294" s="5" t="s">
        <v>89</v>
      </c>
      <c r="G294" s="5" t="s">
        <v>90</v>
      </c>
      <c r="H294" s="5" t="s">
        <v>108</v>
      </c>
      <c r="I294" s="5" t="s">
        <v>92</v>
      </c>
      <c r="J294" s="5" t="s">
        <v>93</v>
      </c>
      <c r="K294" s="5" t="s">
        <v>87</v>
      </c>
      <c r="L294" s="5">
        <v>3</v>
      </c>
      <c r="M294" s="5">
        <v>2654.14</v>
      </c>
      <c r="N294" s="5">
        <v>10</v>
      </c>
      <c r="O294" s="5">
        <v>7166.18</v>
      </c>
      <c r="P294">
        <f t="shared" si="52"/>
        <v>7962.42</v>
      </c>
      <c r="Q294">
        <f t="shared" si="53"/>
        <v>796.242</v>
      </c>
      <c r="R294">
        <f t="shared" si="54"/>
        <v>7166.178</v>
      </c>
      <c r="S294" t="str">
        <f t="shared" si="55"/>
        <v>Low</v>
      </c>
      <c r="T294" t="str">
        <f t="shared" si="56"/>
        <v>Low</v>
      </c>
      <c r="U294" t="str">
        <f t="shared" si="57"/>
        <v>Heavy Discount</v>
      </c>
      <c r="V294" t="str">
        <f t="shared" si="58"/>
        <v>Excellent Sales</v>
      </c>
      <c r="W294">
        <f t="shared" si="59"/>
        <v>99</v>
      </c>
      <c r="X294">
        <f t="shared" si="60"/>
        <v>106</v>
      </c>
      <c r="Y294">
        <f t="shared" si="61"/>
        <v>25</v>
      </c>
      <c r="Z294" t="str">
        <f t="shared" si="62"/>
        <v>Not Eligible</v>
      </c>
      <c r="AA294" t="str">
        <f t="shared" si="63"/>
        <v>Prriority Order</v>
      </c>
      <c r="AB294" t="str">
        <f t="shared" si="64"/>
        <v>Online</v>
      </c>
    </row>
    <row r="295" spans="1:28">
      <c r="A295" s="5">
        <v>10294</v>
      </c>
      <c r="B295" s="5">
        <v>1402</v>
      </c>
      <c r="C295" s="6">
        <v>44994</v>
      </c>
      <c r="D295" s="6">
        <v>44994</v>
      </c>
      <c r="E295" s="5" t="s">
        <v>88</v>
      </c>
      <c r="F295" s="5" t="s">
        <v>82</v>
      </c>
      <c r="G295" s="5" t="s">
        <v>90</v>
      </c>
      <c r="H295" s="5" t="s">
        <v>101</v>
      </c>
      <c r="I295" s="5" t="s">
        <v>85</v>
      </c>
      <c r="J295" s="5" t="s">
        <v>109</v>
      </c>
      <c r="K295" s="5" t="s">
        <v>111</v>
      </c>
      <c r="L295" s="5">
        <v>3</v>
      </c>
      <c r="M295" s="5">
        <v>967.49</v>
      </c>
      <c r="N295" s="5">
        <v>0</v>
      </c>
      <c r="O295" s="5">
        <v>2902.47</v>
      </c>
      <c r="P295">
        <f t="shared" si="52"/>
        <v>2902.47</v>
      </c>
      <c r="Q295">
        <f t="shared" si="53"/>
        <v>0</v>
      </c>
      <c r="R295">
        <f t="shared" si="54"/>
        <v>2902.47</v>
      </c>
      <c r="S295" t="str">
        <f t="shared" si="55"/>
        <v>Low</v>
      </c>
      <c r="T295" t="str">
        <f t="shared" si="56"/>
        <v>Low</v>
      </c>
      <c r="U295" t="str">
        <f t="shared" si="57"/>
        <v>Normal Discount</v>
      </c>
      <c r="V295" t="str">
        <f t="shared" si="58"/>
        <v>Average</v>
      </c>
      <c r="W295">
        <f t="shared" si="59"/>
        <v>99</v>
      </c>
      <c r="X295">
        <f t="shared" si="60"/>
        <v>106</v>
      </c>
      <c r="Y295">
        <f t="shared" si="61"/>
        <v>25</v>
      </c>
      <c r="Z295" t="str">
        <f t="shared" si="62"/>
        <v>Eligible</v>
      </c>
      <c r="AA295" t="str">
        <f t="shared" si="63"/>
        <v>Normal Order</v>
      </c>
      <c r="AB295" t="str">
        <f t="shared" si="64"/>
        <v>Online</v>
      </c>
    </row>
    <row r="296" spans="1:28">
      <c r="A296" s="5">
        <v>10295</v>
      </c>
      <c r="B296" s="5">
        <v>1637</v>
      </c>
      <c r="C296" s="6">
        <v>45284</v>
      </c>
      <c r="D296" s="6">
        <v>45284</v>
      </c>
      <c r="E296" s="5" t="s">
        <v>100</v>
      </c>
      <c r="F296" s="5" t="s">
        <v>89</v>
      </c>
      <c r="G296" s="5" t="s">
        <v>90</v>
      </c>
      <c r="H296" s="5" t="s">
        <v>108</v>
      </c>
      <c r="I296" s="5" t="s">
        <v>97</v>
      </c>
      <c r="J296" s="5" t="s">
        <v>114</v>
      </c>
      <c r="K296" s="5" t="s">
        <v>99</v>
      </c>
      <c r="L296" s="5">
        <v>1</v>
      </c>
      <c r="M296" s="5">
        <v>619.73</v>
      </c>
      <c r="N296" s="5">
        <v>0</v>
      </c>
      <c r="O296" s="5">
        <v>619.73</v>
      </c>
      <c r="P296">
        <f t="shared" si="52"/>
        <v>619.73</v>
      </c>
      <c r="Q296">
        <f t="shared" si="53"/>
        <v>0</v>
      </c>
      <c r="R296">
        <f t="shared" si="54"/>
        <v>619.73</v>
      </c>
      <c r="S296" t="str">
        <f t="shared" si="55"/>
        <v>Low</v>
      </c>
      <c r="T296" t="str">
        <f t="shared" si="56"/>
        <v>Low</v>
      </c>
      <c r="U296" t="str">
        <f t="shared" si="57"/>
        <v>Normal Discount</v>
      </c>
      <c r="V296" t="str">
        <f t="shared" si="58"/>
        <v>Average</v>
      </c>
      <c r="W296">
        <f t="shared" si="59"/>
        <v>99</v>
      </c>
      <c r="X296">
        <f t="shared" si="60"/>
        <v>106</v>
      </c>
      <c r="Y296">
        <f t="shared" si="61"/>
        <v>25</v>
      </c>
      <c r="Z296" t="str">
        <f t="shared" si="62"/>
        <v>Eligible</v>
      </c>
      <c r="AA296" t="str">
        <f t="shared" si="63"/>
        <v>Normal Order</v>
      </c>
      <c r="AB296" t="str">
        <f t="shared" si="64"/>
        <v>Online</v>
      </c>
    </row>
    <row r="297" spans="1:28">
      <c r="A297" s="5">
        <v>10296</v>
      </c>
      <c r="B297" s="5">
        <v>1129</v>
      </c>
      <c r="C297" s="6">
        <v>44957</v>
      </c>
      <c r="D297" s="6">
        <v>44957</v>
      </c>
      <c r="E297" s="5" t="s">
        <v>82</v>
      </c>
      <c r="F297" s="5" t="s">
        <v>82</v>
      </c>
      <c r="G297" s="5" t="s">
        <v>83</v>
      </c>
      <c r="H297" s="5" t="s">
        <v>101</v>
      </c>
      <c r="I297" s="5" t="s">
        <v>97</v>
      </c>
      <c r="J297" s="5" t="s">
        <v>114</v>
      </c>
      <c r="K297" s="5" t="s">
        <v>113</v>
      </c>
      <c r="L297" s="5">
        <v>5</v>
      </c>
      <c r="M297" s="5">
        <v>2850.33</v>
      </c>
      <c r="N297" s="5">
        <v>5</v>
      </c>
      <c r="O297" s="5">
        <v>13539.07</v>
      </c>
      <c r="P297">
        <f t="shared" si="52"/>
        <v>14251.65</v>
      </c>
      <c r="Q297">
        <f t="shared" si="53"/>
        <v>712.5825</v>
      </c>
      <c r="R297">
        <f t="shared" si="54"/>
        <v>13539.0675</v>
      </c>
      <c r="S297" t="str">
        <f t="shared" si="55"/>
        <v>High</v>
      </c>
      <c r="T297" t="str">
        <f t="shared" si="56"/>
        <v>Medium</v>
      </c>
      <c r="U297" t="str">
        <f t="shared" si="57"/>
        <v>Heavy Discount</v>
      </c>
      <c r="V297" t="str">
        <f t="shared" si="58"/>
        <v>Excellent Sales</v>
      </c>
      <c r="W297">
        <f t="shared" si="59"/>
        <v>99</v>
      </c>
      <c r="X297">
        <f t="shared" si="60"/>
        <v>106</v>
      </c>
      <c r="Y297">
        <f t="shared" si="61"/>
        <v>25</v>
      </c>
      <c r="Z297" t="str">
        <f t="shared" si="62"/>
        <v>Not Eligible</v>
      </c>
      <c r="AA297" t="str">
        <f t="shared" si="63"/>
        <v>Prriority Order</v>
      </c>
      <c r="AB297" t="str">
        <f t="shared" si="64"/>
        <v>Online</v>
      </c>
    </row>
    <row r="298" spans="1:28">
      <c r="A298" s="5">
        <v>10297</v>
      </c>
      <c r="B298" s="5">
        <v>1052</v>
      </c>
      <c r="C298" s="6">
        <v>44970</v>
      </c>
      <c r="D298" s="6">
        <v>44970</v>
      </c>
      <c r="E298" s="5" t="s">
        <v>100</v>
      </c>
      <c r="F298" s="5" t="s">
        <v>95</v>
      </c>
      <c r="G298" s="5" t="s">
        <v>96</v>
      </c>
      <c r="H298" s="5" t="s">
        <v>110</v>
      </c>
      <c r="I298" s="5" t="s">
        <v>85</v>
      </c>
      <c r="J298" s="5" t="s">
        <v>86</v>
      </c>
      <c r="K298" s="5" t="s">
        <v>94</v>
      </c>
      <c r="L298" s="5">
        <v>4</v>
      </c>
      <c r="M298" s="5">
        <v>586.75</v>
      </c>
      <c r="N298" s="5">
        <v>10</v>
      </c>
      <c r="O298" s="5">
        <v>2112.3</v>
      </c>
      <c r="P298">
        <f t="shared" si="52"/>
        <v>2347</v>
      </c>
      <c r="Q298">
        <f t="shared" si="53"/>
        <v>234.7</v>
      </c>
      <c r="R298">
        <f t="shared" si="54"/>
        <v>2112.3</v>
      </c>
      <c r="S298" t="str">
        <f t="shared" si="55"/>
        <v>Low</v>
      </c>
      <c r="T298" t="str">
        <f t="shared" si="56"/>
        <v>Low</v>
      </c>
      <c r="U298" t="str">
        <f t="shared" si="57"/>
        <v>Heavy Discount</v>
      </c>
      <c r="V298" t="str">
        <f t="shared" si="58"/>
        <v>Average</v>
      </c>
      <c r="W298">
        <f t="shared" si="59"/>
        <v>99</v>
      </c>
      <c r="X298">
        <f t="shared" si="60"/>
        <v>106</v>
      </c>
      <c r="Y298">
        <f t="shared" si="61"/>
        <v>25</v>
      </c>
      <c r="Z298" t="str">
        <f t="shared" si="62"/>
        <v>Not Eligible</v>
      </c>
      <c r="AA298" t="str">
        <f t="shared" si="63"/>
        <v>Normal Order</v>
      </c>
      <c r="AB298" t="str">
        <f t="shared" si="64"/>
        <v/>
      </c>
    </row>
    <row r="299" spans="1:28">
      <c r="A299" s="5">
        <v>10298</v>
      </c>
      <c r="B299" s="5">
        <v>1683</v>
      </c>
      <c r="C299" s="6">
        <v>45103</v>
      </c>
      <c r="D299" s="6">
        <v>45103</v>
      </c>
      <c r="E299" s="5" t="s">
        <v>106</v>
      </c>
      <c r="F299" s="5" t="s">
        <v>127</v>
      </c>
      <c r="G299" s="5" t="s">
        <v>90</v>
      </c>
      <c r="H299" s="5" t="s">
        <v>91</v>
      </c>
      <c r="I299" s="5" t="s">
        <v>92</v>
      </c>
      <c r="J299" s="5" t="s">
        <v>102</v>
      </c>
      <c r="K299" s="5" t="s">
        <v>113</v>
      </c>
      <c r="L299" s="5">
        <v>9</v>
      </c>
      <c r="M299" s="5">
        <v>3988.1</v>
      </c>
      <c r="N299" s="5">
        <v>0</v>
      </c>
      <c r="O299" s="5">
        <v>35892.9</v>
      </c>
      <c r="P299">
        <f t="shared" si="52"/>
        <v>35892.9</v>
      </c>
      <c r="Q299">
        <f t="shared" si="53"/>
        <v>0</v>
      </c>
      <c r="R299">
        <f t="shared" si="54"/>
        <v>35892.9</v>
      </c>
      <c r="S299" t="str">
        <f t="shared" si="55"/>
        <v>High</v>
      </c>
      <c r="T299" t="str">
        <f t="shared" si="56"/>
        <v>High</v>
      </c>
      <c r="U299" t="str">
        <f t="shared" si="57"/>
        <v>Normal Discount</v>
      </c>
      <c r="V299" t="str">
        <f t="shared" si="58"/>
        <v>Excellent Sales</v>
      </c>
      <c r="W299">
        <f t="shared" si="59"/>
        <v>99</v>
      </c>
      <c r="X299">
        <f t="shared" si="60"/>
        <v>106</v>
      </c>
      <c r="Y299">
        <f t="shared" si="61"/>
        <v>25</v>
      </c>
      <c r="Z299" t="str">
        <f t="shared" si="62"/>
        <v>Eligible</v>
      </c>
      <c r="AA299" t="str">
        <f t="shared" si="63"/>
        <v>Prriority Order</v>
      </c>
      <c r="AB299" t="str">
        <f t="shared" si="64"/>
        <v>Online</v>
      </c>
    </row>
    <row r="300" spans="1:28">
      <c r="A300" s="5">
        <v>10299</v>
      </c>
      <c r="B300" s="5">
        <v>1729</v>
      </c>
      <c r="C300" s="6">
        <v>45015</v>
      </c>
      <c r="D300" s="6">
        <v>45015</v>
      </c>
      <c r="E300" s="5" t="s">
        <v>106</v>
      </c>
      <c r="F300" s="5" t="s">
        <v>95</v>
      </c>
      <c r="G300" s="5" t="s">
        <v>96</v>
      </c>
      <c r="H300" s="5" t="s">
        <v>108</v>
      </c>
      <c r="I300" s="5" t="s">
        <v>85</v>
      </c>
      <c r="J300" s="5" t="s">
        <v>109</v>
      </c>
      <c r="K300" s="5" t="s">
        <v>99</v>
      </c>
      <c r="L300" s="5">
        <v>9</v>
      </c>
      <c r="M300" s="5">
        <v>856.29</v>
      </c>
      <c r="N300" s="5">
        <v>5</v>
      </c>
      <c r="O300" s="5">
        <v>7321.28</v>
      </c>
      <c r="P300">
        <f t="shared" si="52"/>
        <v>7706.61</v>
      </c>
      <c r="Q300">
        <f t="shared" si="53"/>
        <v>385.3305</v>
      </c>
      <c r="R300">
        <f t="shared" si="54"/>
        <v>7321.2795</v>
      </c>
      <c r="S300" t="str">
        <f t="shared" si="55"/>
        <v>High</v>
      </c>
      <c r="T300" t="str">
        <f t="shared" si="56"/>
        <v>High</v>
      </c>
      <c r="U300" t="str">
        <f t="shared" si="57"/>
        <v>Heavy Discount</v>
      </c>
      <c r="V300" t="str">
        <f t="shared" si="58"/>
        <v>Excellent Sales</v>
      </c>
      <c r="W300">
        <f t="shared" si="59"/>
        <v>99</v>
      </c>
      <c r="X300">
        <f t="shared" si="60"/>
        <v>106</v>
      </c>
      <c r="Y300">
        <f t="shared" si="61"/>
        <v>25</v>
      </c>
      <c r="Z300" t="str">
        <f t="shared" si="62"/>
        <v>Not Eligible</v>
      </c>
      <c r="AA300" t="str">
        <f t="shared" si="63"/>
        <v>Prriority Order</v>
      </c>
      <c r="AB300" t="str">
        <f t="shared" si="64"/>
        <v/>
      </c>
    </row>
    <row r="301" spans="1:28">
      <c r="A301" s="5">
        <v>10300</v>
      </c>
      <c r="B301" s="5">
        <v>1671</v>
      </c>
      <c r="C301" s="6">
        <v>45105</v>
      </c>
      <c r="D301" s="6">
        <v>45105</v>
      </c>
      <c r="E301" s="5" t="s">
        <v>82</v>
      </c>
      <c r="F301" s="5" t="s">
        <v>89</v>
      </c>
      <c r="G301" s="5" t="s">
        <v>96</v>
      </c>
      <c r="H301" s="5" t="s">
        <v>84</v>
      </c>
      <c r="I301" s="5" t="s">
        <v>123</v>
      </c>
      <c r="J301" s="5" t="s">
        <v>124</v>
      </c>
      <c r="K301" s="5" t="s">
        <v>87</v>
      </c>
      <c r="L301" s="5">
        <v>5</v>
      </c>
      <c r="M301" s="5">
        <v>2437.45</v>
      </c>
      <c r="N301" s="5">
        <v>15</v>
      </c>
      <c r="O301" s="5">
        <v>10359.16</v>
      </c>
      <c r="P301">
        <f t="shared" si="52"/>
        <v>12187.25</v>
      </c>
      <c r="Q301">
        <f t="shared" si="53"/>
        <v>1828.0875</v>
      </c>
      <c r="R301">
        <f t="shared" si="54"/>
        <v>10359.1625</v>
      </c>
      <c r="S301" t="str">
        <f t="shared" si="55"/>
        <v>High</v>
      </c>
      <c r="T301" t="str">
        <f t="shared" si="56"/>
        <v>Medium</v>
      </c>
      <c r="U301" t="str">
        <f t="shared" si="57"/>
        <v>Heavy Discount</v>
      </c>
      <c r="V301" t="str">
        <f t="shared" si="58"/>
        <v>Excellent Sales</v>
      </c>
      <c r="W301">
        <f t="shared" si="59"/>
        <v>99</v>
      </c>
      <c r="X301">
        <f t="shared" si="60"/>
        <v>106</v>
      </c>
      <c r="Y301">
        <f t="shared" si="61"/>
        <v>25</v>
      </c>
      <c r="Z301" t="str">
        <f t="shared" si="62"/>
        <v>Not Eligible</v>
      </c>
      <c r="AA301" t="str">
        <f t="shared" si="63"/>
        <v>Prriority Order</v>
      </c>
      <c r="AB301" t="str">
        <f t="shared" si="64"/>
        <v/>
      </c>
    </row>
    <row r="302" spans="1:28">
      <c r="A302" s="5">
        <v>10301</v>
      </c>
      <c r="B302" s="5">
        <v>1709</v>
      </c>
      <c r="C302" s="6">
        <v>44947</v>
      </c>
      <c r="D302" s="6">
        <v>44947</v>
      </c>
      <c r="E302" s="5" t="s">
        <v>81</v>
      </c>
      <c r="F302" s="5" t="s">
        <v>95</v>
      </c>
      <c r="G302" s="5" t="s">
        <v>83</v>
      </c>
      <c r="H302" s="5" t="s">
        <v>91</v>
      </c>
      <c r="I302" s="5" t="s">
        <v>123</v>
      </c>
      <c r="J302" s="5" t="s">
        <v>124</v>
      </c>
      <c r="K302" s="5" t="s">
        <v>87</v>
      </c>
      <c r="L302" s="5">
        <v>4</v>
      </c>
      <c r="M302" s="5">
        <v>1733.79</v>
      </c>
      <c r="N302" s="5">
        <v>5</v>
      </c>
      <c r="O302" s="5">
        <v>6588.4</v>
      </c>
      <c r="P302">
        <f t="shared" si="52"/>
        <v>6935.16</v>
      </c>
      <c r="Q302">
        <f t="shared" si="53"/>
        <v>346.758</v>
      </c>
      <c r="R302">
        <f t="shared" si="54"/>
        <v>6588.402</v>
      </c>
      <c r="S302" t="str">
        <f t="shared" si="55"/>
        <v>Low</v>
      </c>
      <c r="T302" t="str">
        <f t="shared" si="56"/>
        <v>Low</v>
      </c>
      <c r="U302" t="str">
        <f t="shared" si="57"/>
        <v>Heavy Discount</v>
      </c>
      <c r="V302" t="str">
        <f t="shared" si="58"/>
        <v>Good</v>
      </c>
      <c r="W302">
        <f t="shared" si="59"/>
        <v>99</v>
      </c>
      <c r="X302">
        <f t="shared" si="60"/>
        <v>106</v>
      </c>
      <c r="Y302">
        <f t="shared" si="61"/>
        <v>25</v>
      </c>
      <c r="Z302" t="str">
        <f t="shared" si="62"/>
        <v>Not Eligible</v>
      </c>
      <c r="AA302" t="str">
        <f t="shared" si="63"/>
        <v>Normal Order</v>
      </c>
      <c r="AB302" t="str">
        <f t="shared" si="64"/>
        <v>Online</v>
      </c>
    </row>
    <row r="303" spans="1:28">
      <c r="A303" s="5">
        <v>10302</v>
      </c>
      <c r="B303" s="5">
        <v>1415</v>
      </c>
      <c r="C303" s="6">
        <v>45027</v>
      </c>
      <c r="D303" s="6">
        <v>45027</v>
      </c>
      <c r="E303" s="5" t="s">
        <v>82</v>
      </c>
      <c r="F303" s="5" t="s">
        <v>95</v>
      </c>
      <c r="G303" s="5" t="s">
        <v>90</v>
      </c>
      <c r="H303" s="5" t="s">
        <v>84</v>
      </c>
      <c r="I303" s="5" t="s">
        <v>97</v>
      </c>
      <c r="J303" s="5" t="s">
        <v>140</v>
      </c>
      <c r="K303" s="5" t="s">
        <v>99</v>
      </c>
      <c r="L303" s="5">
        <v>7</v>
      </c>
      <c r="M303" s="5">
        <v>636.59</v>
      </c>
      <c r="N303" s="5">
        <v>5</v>
      </c>
      <c r="O303" s="5">
        <v>4233.32</v>
      </c>
      <c r="P303">
        <f t="shared" si="52"/>
        <v>4456.13</v>
      </c>
      <c r="Q303">
        <f t="shared" si="53"/>
        <v>222.8065</v>
      </c>
      <c r="R303">
        <f t="shared" si="54"/>
        <v>4233.3235</v>
      </c>
      <c r="S303" t="str">
        <f t="shared" si="55"/>
        <v>High</v>
      </c>
      <c r="T303" t="str">
        <f t="shared" si="56"/>
        <v>High</v>
      </c>
      <c r="U303" t="str">
        <f t="shared" si="57"/>
        <v>Heavy Discount</v>
      </c>
      <c r="V303" t="str">
        <f t="shared" si="58"/>
        <v>Good</v>
      </c>
      <c r="W303">
        <f t="shared" si="59"/>
        <v>99</v>
      </c>
      <c r="X303">
        <f t="shared" si="60"/>
        <v>106</v>
      </c>
      <c r="Y303">
        <f t="shared" si="61"/>
        <v>25</v>
      </c>
      <c r="Z303" t="str">
        <f t="shared" si="62"/>
        <v>Not Eligible</v>
      </c>
      <c r="AA303" t="str">
        <f t="shared" si="63"/>
        <v>Prriority Order</v>
      </c>
      <c r="AB303" t="str">
        <f t="shared" si="64"/>
        <v>Online</v>
      </c>
    </row>
    <row r="304" spans="1:28">
      <c r="A304" s="5">
        <v>10303</v>
      </c>
      <c r="B304" s="5">
        <v>1246</v>
      </c>
      <c r="C304" s="6">
        <v>45125</v>
      </c>
      <c r="D304" s="6">
        <v>45125</v>
      </c>
      <c r="E304" s="5" t="s">
        <v>103</v>
      </c>
      <c r="F304" s="5" t="s">
        <v>95</v>
      </c>
      <c r="G304" s="5" t="s">
        <v>83</v>
      </c>
      <c r="H304" s="5" t="s">
        <v>91</v>
      </c>
      <c r="I304" s="5" t="s">
        <v>132</v>
      </c>
      <c r="J304" s="5" t="s">
        <v>142</v>
      </c>
      <c r="K304" s="5" t="s">
        <v>87</v>
      </c>
      <c r="L304" s="5">
        <v>6</v>
      </c>
      <c r="M304" s="5">
        <v>257.2</v>
      </c>
      <c r="N304" s="5">
        <v>0</v>
      </c>
      <c r="O304" s="5">
        <v>1543.2</v>
      </c>
      <c r="P304">
        <f t="shared" si="52"/>
        <v>1543.2</v>
      </c>
      <c r="Q304">
        <f t="shared" si="53"/>
        <v>0</v>
      </c>
      <c r="R304">
        <f t="shared" si="54"/>
        <v>1543.2</v>
      </c>
      <c r="S304" t="str">
        <f t="shared" si="55"/>
        <v>High</v>
      </c>
      <c r="T304" t="str">
        <f t="shared" si="56"/>
        <v>High</v>
      </c>
      <c r="U304" t="str">
        <f t="shared" si="57"/>
        <v>Normal Discount</v>
      </c>
      <c r="V304" t="str">
        <f t="shared" si="58"/>
        <v>Average</v>
      </c>
      <c r="W304">
        <f t="shared" si="59"/>
        <v>99</v>
      </c>
      <c r="X304">
        <f t="shared" si="60"/>
        <v>106</v>
      </c>
      <c r="Y304">
        <f t="shared" si="61"/>
        <v>25</v>
      </c>
      <c r="Z304" t="str">
        <f t="shared" si="62"/>
        <v>Eligible</v>
      </c>
      <c r="AA304" t="str">
        <f t="shared" si="63"/>
        <v>Prriority Order</v>
      </c>
      <c r="AB304" t="str">
        <f t="shared" si="64"/>
        <v>Online</v>
      </c>
    </row>
    <row r="305" spans="1:28">
      <c r="A305" s="5">
        <v>10304</v>
      </c>
      <c r="B305" s="5">
        <v>1835</v>
      </c>
      <c r="C305" s="6">
        <v>45027</v>
      </c>
      <c r="D305" s="6">
        <v>45027</v>
      </c>
      <c r="E305" s="5" t="s">
        <v>106</v>
      </c>
      <c r="F305" s="5" t="s">
        <v>89</v>
      </c>
      <c r="G305" s="5" t="s">
        <v>90</v>
      </c>
      <c r="H305" s="5" t="s">
        <v>91</v>
      </c>
      <c r="I305" s="5" t="s">
        <v>92</v>
      </c>
      <c r="J305" s="5" t="s">
        <v>136</v>
      </c>
      <c r="K305" s="5" t="s">
        <v>87</v>
      </c>
      <c r="L305" s="5">
        <v>4</v>
      </c>
      <c r="M305" s="5">
        <v>2547.52</v>
      </c>
      <c r="N305" s="5">
        <v>20</v>
      </c>
      <c r="O305" s="5">
        <v>8152.06</v>
      </c>
      <c r="P305">
        <f t="shared" si="52"/>
        <v>10190.08</v>
      </c>
      <c r="Q305">
        <f t="shared" si="53"/>
        <v>2038.016</v>
      </c>
      <c r="R305">
        <f t="shared" si="54"/>
        <v>8152.064</v>
      </c>
      <c r="S305" t="str">
        <f t="shared" si="55"/>
        <v>Low</v>
      </c>
      <c r="T305" t="str">
        <f t="shared" si="56"/>
        <v>Low</v>
      </c>
      <c r="U305" t="str">
        <f t="shared" si="57"/>
        <v>Heavy Discount</v>
      </c>
      <c r="V305" t="str">
        <f t="shared" si="58"/>
        <v>Excellent Sales</v>
      </c>
      <c r="W305">
        <f t="shared" si="59"/>
        <v>99</v>
      </c>
      <c r="X305">
        <f t="shared" si="60"/>
        <v>106</v>
      </c>
      <c r="Y305">
        <f t="shared" si="61"/>
        <v>25</v>
      </c>
      <c r="Z305" t="str">
        <f t="shared" si="62"/>
        <v>Not Eligible</v>
      </c>
      <c r="AA305" t="str">
        <f t="shared" si="63"/>
        <v>Prriority Order</v>
      </c>
      <c r="AB305" t="str">
        <f t="shared" si="64"/>
        <v>Online</v>
      </c>
    </row>
    <row r="306" spans="1:28">
      <c r="A306" s="5">
        <v>10305</v>
      </c>
      <c r="B306" s="5">
        <v>1438</v>
      </c>
      <c r="C306" s="6">
        <v>44993</v>
      </c>
      <c r="D306" s="6">
        <v>44993</v>
      </c>
      <c r="E306" s="5" t="s">
        <v>112</v>
      </c>
      <c r="F306" s="5" t="s">
        <v>107</v>
      </c>
      <c r="G306" s="5" t="s">
        <v>83</v>
      </c>
      <c r="H306" s="5" t="s">
        <v>101</v>
      </c>
      <c r="I306" s="5" t="s">
        <v>97</v>
      </c>
      <c r="J306" s="5" t="s">
        <v>114</v>
      </c>
      <c r="K306" s="5" t="s">
        <v>87</v>
      </c>
      <c r="L306" s="5">
        <v>2</v>
      </c>
      <c r="M306" s="5">
        <v>3256.02</v>
      </c>
      <c r="N306" s="5">
        <v>20</v>
      </c>
      <c r="O306" s="5">
        <v>5209.63</v>
      </c>
      <c r="P306">
        <f t="shared" si="52"/>
        <v>6512.04</v>
      </c>
      <c r="Q306">
        <f t="shared" si="53"/>
        <v>1302.408</v>
      </c>
      <c r="R306">
        <f t="shared" si="54"/>
        <v>5209.632</v>
      </c>
      <c r="S306" t="str">
        <f t="shared" si="55"/>
        <v>Low</v>
      </c>
      <c r="T306" t="str">
        <f t="shared" si="56"/>
        <v>Low</v>
      </c>
      <c r="U306" t="str">
        <f t="shared" si="57"/>
        <v>Heavy Discount</v>
      </c>
      <c r="V306" t="str">
        <f t="shared" si="58"/>
        <v>Good</v>
      </c>
      <c r="W306">
        <f t="shared" si="59"/>
        <v>99</v>
      </c>
      <c r="X306">
        <f t="shared" si="60"/>
        <v>106</v>
      </c>
      <c r="Y306">
        <f t="shared" si="61"/>
        <v>25</v>
      </c>
      <c r="Z306" t="str">
        <f t="shared" si="62"/>
        <v>Not Eligible</v>
      </c>
      <c r="AA306" t="str">
        <f t="shared" si="63"/>
        <v>Normal Order</v>
      </c>
      <c r="AB306" t="str">
        <f t="shared" si="64"/>
        <v>Online</v>
      </c>
    </row>
    <row r="307" spans="1:28">
      <c r="A307" s="5">
        <v>10306</v>
      </c>
      <c r="B307" s="5">
        <v>1202</v>
      </c>
      <c r="C307" s="6">
        <v>45264</v>
      </c>
      <c r="D307" s="6">
        <v>45264</v>
      </c>
      <c r="E307" s="5" t="s">
        <v>112</v>
      </c>
      <c r="F307" s="5" t="s">
        <v>95</v>
      </c>
      <c r="G307" s="5" t="s">
        <v>96</v>
      </c>
      <c r="H307" s="5" t="s">
        <v>108</v>
      </c>
      <c r="I307" s="5" t="s">
        <v>132</v>
      </c>
      <c r="J307" s="5" t="s">
        <v>137</v>
      </c>
      <c r="K307" s="5" t="s">
        <v>94</v>
      </c>
      <c r="L307" s="5">
        <v>1</v>
      </c>
      <c r="M307" s="5">
        <v>3391.76</v>
      </c>
      <c r="N307" s="5">
        <v>20</v>
      </c>
      <c r="O307" s="5">
        <v>2713.41</v>
      </c>
      <c r="P307">
        <f t="shared" si="52"/>
        <v>3391.76</v>
      </c>
      <c r="Q307">
        <f t="shared" si="53"/>
        <v>678.352</v>
      </c>
      <c r="R307">
        <f t="shared" si="54"/>
        <v>2713.408</v>
      </c>
      <c r="S307" t="str">
        <f t="shared" si="55"/>
        <v>Low</v>
      </c>
      <c r="T307" t="str">
        <f t="shared" si="56"/>
        <v>Low</v>
      </c>
      <c r="U307" t="str">
        <f t="shared" si="57"/>
        <v>Heavy Discount</v>
      </c>
      <c r="V307" t="str">
        <f t="shared" si="58"/>
        <v>Average</v>
      </c>
      <c r="W307">
        <f t="shared" si="59"/>
        <v>99</v>
      </c>
      <c r="X307">
        <f t="shared" si="60"/>
        <v>106</v>
      </c>
      <c r="Y307">
        <f t="shared" si="61"/>
        <v>25</v>
      </c>
      <c r="Z307" t="str">
        <f t="shared" si="62"/>
        <v>Not Eligible</v>
      </c>
      <c r="AA307" t="str">
        <f t="shared" si="63"/>
        <v>Normal Order</v>
      </c>
      <c r="AB307" t="str">
        <f t="shared" si="64"/>
        <v/>
      </c>
    </row>
    <row r="308" spans="1:28">
      <c r="A308" s="5">
        <v>10307</v>
      </c>
      <c r="B308" s="5">
        <v>1183</v>
      </c>
      <c r="C308" s="6">
        <v>45273</v>
      </c>
      <c r="D308" s="6">
        <v>45273</v>
      </c>
      <c r="E308" s="5" t="s">
        <v>81</v>
      </c>
      <c r="F308" s="5" t="s">
        <v>82</v>
      </c>
      <c r="G308" s="5" t="s">
        <v>90</v>
      </c>
      <c r="H308" s="5" t="s">
        <v>108</v>
      </c>
      <c r="I308" s="5" t="s">
        <v>132</v>
      </c>
      <c r="J308" s="5" t="s">
        <v>133</v>
      </c>
      <c r="K308" s="5" t="s">
        <v>94</v>
      </c>
      <c r="L308" s="5">
        <v>4</v>
      </c>
      <c r="M308" s="5">
        <v>2008.45</v>
      </c>
      <c r="N308" s="5">
        <v>5</v>
      </c>
      <c r="O308" s="5">
        <v>7632.11</v>
      </c>
      <c r="P308">
        <f t="shared" si="52"/>
        <v>8033.8</v>
      </c>
      <c r="Q308">
        <f t="shared" si="53"/>
        <v>401.69</v>
      </c>
      <c r="R308">
        <f t="shared" si="54"/>
        <v>7632.11</v>
      </c>
      <c r="S308" t="str">
        <f t="shared" si="55"/>
        <v>Low</v>
      </c>
      <c r="T308" t="str">
        <f t="shared" si="56"/>
        <v>Low</v>
      </c>
      <c r="U308" t="str">
        <f t="shared" si="57"/>
        <v>Heavy Discount</v>
      </c>
      <c r="V308" t="str">
        <f t="shared" si="58"/>
        <v>Excellent Sales</v>
      </c>
      <c r="W308">
        <f t="shared" si="59"/>
        <v>99</v>
      </c>
      <c r="X308">
        <f t="shared" si="60"/>
        <v>106</v>
      </c>
      <c r="Y308">
        <f t="shared" si="61"/>
        <v>25</v>
      </c>
      <c r="Z308" t="str">
        <f t="shared" si="62"/>
        <v>Not Eligible</v>
      </c>
      <c r="AA308" t="str">
        <f t="shared" si="63"/>
        <v>Prriority Order</v>
      </c>
      <c r="AB308" t="str">
        <f t="shared" si="64"/>
        <v>Online</v>
      </c>
    </row>
    <row r="309" spans="1:28">
      <c r="A309" s="5">
        <v>10308</v>
      </c>
      <c r="B309" s="5">
        <v>1122</v>
      </c>
      <c r="C309" s="6">
        <v>44940</v>
      </c>
      <c r="D309" s="6">
        <v>44940</v>
      </c>
      <c r="E309" s="5" t="s">
        <v>103</v>
      </c>
      <c r="F309" s="5" t="s">
        <v>89</v>
      </c>
      <c r="G309" s="5" t="s">
        <v>96</v>
      </c>
      <c r="H309" s="5" t="s">
        <v>91</v>
      </c>
      <c r="I309" s="5" t="s">
        <v>123</v>
      </c>
      <c r="J309" s="5" t="s">
        <v>124</v>
      </c>
      <c r="K309" s="5" t="s">
        <v>111</v>
      </c>
      <c r="L309" s="5">
        <v>4</v>
      </c>
      <c r="M309" s="5">
        <v>3143.2</v>
      </c>
      <c r="N309" s="5">
        <v>0</v>
      </c>
      <c r="O309" s="5">
        <v>12572.8</v>
      </c>
      <c r="P309">
        <f t="shared" si="52"/>
        <v>12572.8</v>
      </c>
      <c r="Q309">
        <f t="shared" si="53"/>
        <v>0</v>
      </c>
      <c r="R309">
        <f t="shared" si="54"/>
        <v>12572.8</v>
      </c>
      <c r="S309" t="str">
        <f t="shared" si="55"/>
        <v>Low</v>
      </c>
      <c r="T309" t="str">
        <f t="shared" si="56"/>
        <v>Low</v>
      </c>
      <c r="U309" t="str">
        <f t="shared" si="57"/>
        <v>Normal Discount</v>
      </c>
      <c r="V309" t="str">
        <f t="shared" si="58"/>
        <v>Excellent Sales</v>
      </c>
      <c r="W309">
        <f t="shared" si="59"/>
        <v>99</v>
      </c>
      <c r="X309">
        <f t="shared" si="60"/>
        <v>106</v>
      </c>
      <c r="Y309">
        <f t="shared" si="61"/>
        <v>25</v>
      </c>
      <c r="Z309" t="str">
        <f t="shared" si="62"/>
        <v>Eligible</v>
      </c>
      <c r="AA309" t="str">
        <f t="shared" si="63"/>
        <v>Prriority Order</v>
      </c>
      <c r="AB309" t="str">
        <f t="shared" si="64"/>
        <v/>
      </c>
    </row>
    <row r="310" spans="1:28">
      <c r="A310" s="5">
        <v>10309</v>
      </c>
      <c r="B310" s="5">
        <v>1400</v>
      </c>
      <c r="C310" s="6">
        <v>44936</v>
      </c>
      <c r="D310" s="6">
        <v>44936</v>
      </c>
      <c r="E310" s="5" t="s">
        <v>100</v>
      </c>
      <c r="F310" s="5" t="s">
        <v>95</v>
      </c>
      <c r="G310" s="5" t="s">
        <v>96</v>
      </c>
      <c r="H310" s="5" t="s">
        <v>110</v>
      </c>
      <c r="I310" s="5" t="s">
        <v>115</v>
      </c>
      <c r="J310" s="5" t="s">
        <v>119</v>
      </c>
      <c r="K310" s="5" t="s">
        <v>113</v>
      </c>
      <c r="L310" s="5">
        <v>1</v>
      </c>
      <c r="M310" s="5">
        <v>2740.46</v>
      </c>
      <c r="N310" s="5">
        <v>10</v>
      </c>
      <c r="O310" s="5">
        <v>2466.41</v>
      </c>
      <c r="P310">
        <f t="shared" si="52"/>
        <v>2740.46</v>
      </c>
      <c r="Q310">
        <f t="shared" si="53"/>
        <v>274.046</v>
      </c>
      <c r="R310">
        <f t="shared" si="54"/>
        <v>2466.414</v>
      </c>
      <c r="S310" t="str">
        <f t="shared" si="55"/>
        <v>Low</v>
      </c>
      <c r="T310" t="str">
        <f t="shared" si="56"/>
        <v>Low</v>
      </c>
      <c r="U310" t="str">
        <f t="shared" si="57"/>
        <v>Heavy Discount</v>
      </c>
      <c r="V310" t="str">
        <f t="shared" si="58"/>
        <v>Average</v>
      </c>
      <c r="W310">
        <f t="shared" si="59"/>
        <v>99</v>
      </c>
      <c r="X310">
        <f t="shared" si="60"/>
        <v>106</v>
      </c>
      <c r="Y310">
        <f t="shared" si="61"/>
        <v>25</v>
      </c>
      <c r="Z310" t="str">
        <f t="shared" si="62"/>
        <v>Not Eligible</v>
      </c>
      <c r="AA310" t="str">
        <f t="shared" si="63"/>
        <v>Normal Order</v>
      </c>
      <c r="AB310" t="str">
        <f t="shared" si="64"/>
        <v/>
      </c>
    </row>
    <row r="311" spans="1:28">
      <c r="A311" s="5">
        <v>10310</v>
      </c>
      <c r="B311" s="5">
        <v>1766</v>
      </c>
      <c r="C311" s="6">
        <v>44951</v>
      </c>
      <c r="D311" s="6">
        <v>44951</v>
      </c>
      <c r="E311" s="5" t="s">
        <v>103</v>
      </c>
      <c r="F311" s="5" t="s">
        <v>107</v>
      </c>
      <c r="G311" s="5" t="s">
        <v>83</v>
      </c>
      <c r="H311" s="5" t="s">
        <v>110</v>
      </c>
      <c r="I311" s="5" t="s">
        <v>115</v>
      </c>
      <c r="J311" s="5" t="s">
        <v>119</v>
      </c>
      <c r="K311" s="5" t="s">
        <v>99</v>
      </c>
      <c r="L311" s="5">
        <v>6</v>
      </c>
      <c r="M311" s="5">
        <v>2938.38</v>
      </c>
      <c r="N311" s="5">
        <v>5</v>
      </c>
      <c r="O311" s="5">
        <v>16748.77</v>
      </c>
      <c r="P311">
        <f t="shared" si="52"/>
        <v>17630.28</v>
      </c>
      <c r="Q311">
        <f t="shared" si="53"/>
        <v>881.514</v>
      </c>
      <c r="R311">
        <f t="shared" si="54"/>
        <v>16748.766</v>
      </c>
      <c r="S311" t="str">
        <f t="shared" si="55"/>
        <v>High</v>
      </c>
      <c r="T311" t="str">
        <f t="shared" si="56"/>
        <v>High</v>
      </c>
      <c r="U311" t="str">
        <f t="shared" si="57"/>
        <v>Heavy Discount</v>
      </c>
      <c r="V311" t="str">
        <f t="shared" si="58"/>
        <v>Excellent Sales</v>
      </c>
      <c r="W311">
        <f t="shared" si="59"/>
        <v>99</v>
      </c>
      <c r="X311">
        <f t="shared" si="60"/>
        <v>106</v>
      </c>
      <c r="Y311">
        <f t="shared" si="61"/>
        <v>25</v>
      </c>
      <c r="Z311" t="str">
        <f t="shared" si="62"/>
        <v>Not Eligible</v>
      </c>
      <c r="AA311" t="str">
        <f t="shared" si="63"/>
        <v>Prriority Order</v>
      </c>
      <c r="AB311" t="str">
        <f t="shared" si="64"/>
        <v>Online</v>
      </c>
    </row>
    <row r="312" spans="1:28">
      <c r="A312" s="5">
        <v>10311</v>
      </c>
      <c r="B312" s="5">
        <v>1293</v>
      </c>
      <c r="C312" s="6">
        <v>45043</v>
      </c>
      <c r="D312" s="6">
        <v>45043</v>
      </c>
      <c r="E312" s="5" t="s">
        <v>112</v>
      </c>
      <c r="F312" s="5" t="s">
        <v>89</v>
      </c>
      <c r="G312" s="5" t="s">
        <v>90</v>
      </c>
      <c r="H312" s="5" t="s">
        <v>84</v>
      </c>
      <c r="I312" s="5" t="s">
        <v>85</v>
      </c>
      <c r="J312" s="5" t="s">
        <v>109</v>
      </c>
      <c r="K312" s="5" t="s">
        <v>99</v>
      </c>
      <c r="L312" s="5">
        <v>4</v>
      </c>
      <c r="M312" s="5">
        <v>2046.51</v>
      </c>
      <c r="N312" s="5">
        <v>5</v>
      </c>
      <c r="O312" s="5">
        <v>7776.74</v>
      </c>
      <c r="P312">
        <f t="shared" si="52"/>
        <v>8186.04</v>
      </c>
      <c r="Q312">
        <f t="shared" si="53"/>
        <v>409.302</v>
      </c>
      <c r="R312">
        <f t="shared" si="54"/>
        <v>7776.738</v>
      </c>
      <c r="S312" t="str">
        <f t="shared" si="55"/>
        <v>Low</v>
      </c>
      <c r="T312" t="str">
        <f t="shared" si="56"/>
        <v>Low</v>
      </c>
      <c r="U312" t="str">
        <f t="shared" si="57"/>
        <v>Heavy Discount</v>
      </c>
      <c r="V312" t="str">
        <f t="shared" si="58"/>
        <v>Excellent Sales</v>
      </c>
      <c r="W312">
        <f t="shared" si="59"/>
        <v>99</v>
      </c>
      <c r="X312">
        <f t="shared" si="60"/>
        <v>106</v>
      </c>
      <c r="Y312">
        <f t="shared" si="61"/>
        <v>24</v>
      </c>
      <c r="Z312" t="str">
        <f t="shared" si="62"/>
        <v>Not Eligible</v>
      </c>
      <c r="AA312" t="str">
        <f t="shared" si="63"/>
        <v>Prriority Order</v>
      </c>
      <c r="AB312" t="str">
        <f t="shared" si="64"/>
        <v>Online</v>
      </c>
    </row>
    <row r="313" spans="1:28">
      <c r="A313" s="5">
        <v>10312</v>
      </c>
      <c r="B313" s="5">
        <v>1279</v>
      </c>
      <c r="C313" s="6">
        <v>44990</v>
      </c>
      <c r="D313" s="6">
        <v>44990</v>
      </c>
      <c r="E313" s="5" t="s">
        <v>112</v>
      </c>
      <c r="F313" s="5" t="s">
        <v>104</v>
      </c>
      <c r="G313" s="5" t="s">
        <v>96</v>
      </c>
      <c r="H313" s="5" t="s">
        <v>84</v>
      </c>
      <c r="I313" s="5" t="s">
        <v>123</v>
      </c>
      <c r="J313" s="5" t="s">
        <v>131</v>
      </c>
      <c r="K313" s="5" t="s">
        <v>99</v>
      </c>
      <c r="L313" s="5">
        <v>1</v>
      </c>
      <c r="M313" s="5">
        <v>2588.64</v>
      </c>
      <c r="N313" s="5">
        <v>0</v>
      </c>
      <c r="O313" s="5">
        <v>2588.64</v>
      </c>
      <c r="P313">
        <f t="shared" si="52"/>
        <v>2588.64</v>
      </c>
      <c r="Q313">
        <f t="shared" si="53"/>
        <v>0</v>
      </c>
      <c r="R313">
        <f t="shared" si="54"/>
        <v>2588.64</v>
      </c>
      <c r="S313" t="str">
        <f t="shared" si="55"/>
        <v>Low</v>
      </c>
      <c r="T313" t="str">
        <f t="shared" si="56"/>
        <v>Low</v>
      </c>
      <c r="U313" t="str">
        <f t="shared" si="57"/>
        <v>Normal Discount</v>
      </c>
      <c r="V313" t="str">
        <f t="shared" si="58"/>
        <v>Average</v>
      </c>
      <c r="W313">
        <f t="shared" si="59"/>
        <v>99</v>
      </c>
      <c r="X313">
        <f t="shared" si="60"/>
        <v>106</v>
      </c>
      <c r="Y313">
        <f t="shared" si="61"/>
        <v>24</v>
      </c>
      <c r="Z313" t="str">
        <f t="shared" si="62"/>
        <v>Eligible</v>
      </c>
      <c r="AA313" t="str">
        <f t="shared" si="63"/>
        <v>Normal Order</v>
      </c>
      <c r="AB313" t="str">
        <f t="shared" si="64"/>
        <v/>
      </c>
    </row>
    <row r="314" spans="1:28">
      <c r="A314" s="5">
        <v>10313</v>
      </c>
      <c r="B314" s="5">
        <v>1836</v>
      </c>
      <c r="C314" s="6">
        <v>44997</v>
      </c>
      <c r="D314" s="6">
        <v>44997</v>
      </c>
      <c r="E314" s="5" t="s">
        <v>106</v>
      </c>
      <c r="F314" s="5" t="s">
        <v>107</v>
      </c>
      <c r="G314" s="5" t="s">
        <v>83</v>
      </c>
      <c r="H314" s="5" t="s">
        <v>101</v>
      </c>
      <c r="I314" s="5" t="s">
        <v>132</v>
      </c>
      <c r="J314" s="5" t="s">
        <v>137</v>
      </c>
      <c r="K314" s="5" t="s">
        <v>111</v>
      </c>
      <c r="L314" s="5">
        <v>1</v>
      </c>
      <c r="M314" s="5">
        <v>3251.27</v>
      </c>
      <c r="N314" s="5">
        <v>15</v>
      </c>
      <c r="O314" s="5">
        <v>2763.58</v>
      </c>
      <c r="P314">
        <f t="shared" si="52"/>
        <v>3251.27</v>
      </c>
      <c r="Q314">
        <f t="shared" si="53"/>
        <v>487.6905</v>
      </c>
      <c r="R314">
        <f t="shared" si="54"/>
        <v>2763.5795</v>
      </c>
      <c r="S314" t="str">
        <f t="shared" si="55"/>
        <v>Low</v>
      </c>
      <c r="T314" t="str">
        <f t="shared" si="56"/>
        <v>Low</v>
      </c>
      <c r="U314" t="str">
        <f t="shared" si="57"/>
        <v>Heavy Discount</v>
      </c>
      <c r="V314" t="str">
        <f t="shared" si="58"/>
        <v>Average</v>
      </c>
      <c r="W314">
        <f t="shared" si="59"/>
        <v>99</v>
      </c>
      <c r="X314">
        <f t="shared" si="60"/>
        <v>106</v>
      </c>
      <c r="Y314">
        <f t="shared" si="61"/>
        <v>24</v>
      </c>
      <c r="Z314" t="str">
        <f t="shared" si="62"/>
        <v>Not Eligible</v>
      </c>
      <c r="AA314" t="str">
        <f t="shared" si="63"/>
        <v>Normal Order</v>
      </c>
      <c r="AB314" t="str">
        <f t="shared" si="64"/>
        <v>Online</v>
      </c>
    </row>
    <row r="315" spans="1:28">
      <c r="A315" s="5">
        <v>10314</v>
      </c>
      <c r="B315" s="5">
        <v>1883</v>
      </c>
      <c r="C315" s="6">
        <v>45264</v>
      </c>
      <c r="D315" s="6">
        <v>45264</v>
      </c>
      <c r="E315" s="5" t="s">
        <v>103</v>
      </c>
      <c r="F315" s="5" t="s">
        <v>82</v>
      </c>
      <c r="G315" s="5" t="s">
        <v>90</v>
      </c>
      <c r="H315" s="5" t="s">
        <v>91</v>
      </c>
      <c r="I315" s="5" t="s">
        <v>92</v>
      </c>
      <c r="J315" s="5" t="s">
        <v>144</v>
      </c>
      <c r="K315" s="5" t="s">
        <v>94</v>
      </c>
      <c r="L315" s="5">
        <v>1</v>
      </c>
      <c r="M315" s="5">
        <v>1681.85</v>
      </c>
      <c r="N315" s="5">
        <v>5</v>
      </c>
      <c r="O315" s="5">
        <v>1597.76</v>
      </c>
      <c r="P315">
        <f t="shared" si="52"/>
        <v>1681.85</v>
      </c>
      <c r="Q315">
        <f t="shared" si="53"/>
        <v>84.0925</v>
      </c>
      <c r="R315">
        <f t="shared" si="54"/>
        <v>1597.7575</v>
      </c>
      <c r="S315" t="str">
        <f t="shared" si="55"/>
        <v>Low</v>
      </c>
      <c r="T315" t="str">
        <f t="shared" si="56"/>
        <v>Low</v>
      </c>
      <c r="U315" t="str">
        <f t="shared" si="57"/>
        <v>Heavy Discount</v>
      </c>
      <c r="V315" t="str">
        <f t="shared" si="58"/>
        <v>Average</v>
      </c>
      <c r="W315">
        <f t="shared" si="59"/>
        <v>99</v>
      </c>
      <c r="X315">
        <f t="shared" si="60"/>
        <v>106</v>
      </c>
      <c r="Y315">
        <f t="shared" si="61"/>
        <v>24</v>
      </c>
      <c r="Z315" t="str">
        <f t="shared" si="62"/>
        <v>Not Eligible</v>
      </c>
      <c r="AA315" t="str">
        <f t="shared" si="63"/>
        <v>Normal Order</v>
      </c>
      <c r="AB315" t="str">
        <f t="shared" si="64"/>
        <v>Online</v>
      </c>
    </row>
    <row r="316" spans="1:28">
      <c r="A316" s="5">
        <v>10315</v>
      </c>
      <c r="B316" s="5">
        <v>1609</v>
      </c>
      <c r="C316" s="6">
        <v>45029</v>
      </c>
      <c r="D316" s="6">
        <v>45029</v>
      </c>
      <c r="E316" s="5" t="s">
        <v>103</v>
      </c>
      <c r="F316" s="5" t="s">
        <v>95</v>
      </c>
      <c r="G316" s="5" t="s">
        <v>90</v>
      </c>
      <c r="H316" s="5" t="s">
        <v>84</v>
      </c>
      <c r="I316" s="5" t="s">
        <v>115</v>
      </c>
      <c r="J316" s="5" t="s">
        <v>116</v>
      </c>
      <c r="K316" s="5" t="s">
        <v>111</v>
      </c>
      <c r="L316" s="5">
        <v>8</v>
      </c>
      <c r="M316" s="5">
        <v>3253.02</v>
      </c>
      <c r="N316" s="5">
        <v>15</v>
      </c>
      <c r="O316" s="5">
        <v>22120.54</v>
      </c>
      <c r="P316">
        <f t="shared" si="52"/>
        <v>26024.16</v>
      </c>
      <c r="Q316">
        <f t="shared" si="53"/>
        <v>3903.624</v>
      </c>
      <c r="R316">
        <f t="shared" si="54"/>
        <v>22120.536</v>
      </c>
      <c r="S316" t="str">
        <f t="shared" si="55"/>
        <v>High</v>
      </c>
      <c r="T316" t="str">
        <f t="shared" si="56"/>
        <v>High</v>
      </c>
      <c r="U316" t="str">
        <f t="shared" si="57"/>
        <v>Heavy Discount</v>
      </c>
      <c r="V316" t="str">
        <f t="shared" si="58"/>
        <v>Excellent Sales</v>
      </c>
      <c r="W316">
        <f t="shared" si="59"/>
        <v>99</v>
      </c>
      <c r="X316">
        <f t="shared" si="60"/>
        <v>106</v>
      </c>
      <c r="Y316">
        <f t="shared" si="61"/>
        <v>24</v>
      </c>
      <c r="Z316" t="str">
        <f t="shared" si="62"/>
        <v>Not Eligible</v>
      </c>
      <c r="AA316" t="str">
        <f t="shared" si="63"/>
        <v>Prriority Order</v>
      </c>
      <c r="AB316" t="str">
        <f t="shared" si="64"/>
        <v>Online</v>
      </c>
    </row>
    <row r="317" spans="1:28">
      <c r="A317" s="5">
        <v>10316</v>
      </c>
      <c r="B317" s="5">
        <v>1197</v>
      </c>
      <c r="C317" s="6">
        <v>45071</v>
      </c>
      <c r="D317" s="6">
        <v>45071</v>
      </c>
      <c r="E317" s="5" t="s">
        <v>112</v>
      </c>
      <c r="F317" s="5" t="s">
        <v>104</v>
      </c>
      <c r="G317" s="5" t="s">
        <v>96</v>
      </c>
      <c r="H317" s="5" t="s">
        <v>84</v>
      </c>
      <c r="I317" s="5" t="s">
        <v>132</v>
      </c>
      <c r="J317" s="5" t="s">
        <v>133</v>
      </c>
      <c r="K317" s="5" t="s">
        <v>99</v>
      </c>
      <c r="L317" s="5">
        <v>8</v>
      </c>
      <c r="M317" s="5">
        <v>2429.26</v>
      </c>
      <c r="N317" s="5">
        <v>15</v>
      </c>
      <c r="O317" s="5">
        <v>16518.97</v>
      </c>
      <c r="P317">
        <f t="shared" si="52"/>
        <v>19434.08</v>
      </c>
      <c r="Q317">
        <f t="shared" si="53"/>
        <v>2915.112</v>
      </c>
      <c r="R317">
        <f t="shared" si="54"/>
        <v>16518.968</v>
      </c>
      <c r="S317" t="str">
        <f t="shared" si="55"/>
        <v>High</v>
      </c>
      <c r="T317" t="str">
        <f t="shared" si="56"/>
        <v>High</v>
      </c>
      <c r="U317" t="str">
        <f t="shared" si="57"/>
        <v>Heavy Discount</v>
      </c>
      <c r="V317" t="str">
        <f t="shared" si="58"/>
        <v>Excellent Sales</v>
      </c>
      <c r="W317">
        <f t="shared" si="59"/>
        <v>99</v>
      </c>
      <c r="X317">
        <f t="shared" si="60"/>
        <v>106</v>
      </c>
      <c r="Y317">
        <f t="shared" si="61"/>
        <v>23</v>
      </c>
      <c r="Z317" t="str">
        <f t="shared" si="62"/>
        <v>Not Eligible</v>
      </c>
      <c r="AA317" t="str">
        <f t="shared" si="63"/>
        <v>Prriority Order</v>
      </c>
      <c r="AB317" t="str">
        <f t="shared" si="64"/>
        <v/>
      </c>
    </row>
    <row r="318" spans="1:28">
      <c r="A318" s="5">
        <v>10317</v>
      </c>
      <c r="B318" s="5">
        <v>1981</v>
      </c>
      <c r="C318" s="6">
        <v>45056</v>
      </c>
      <c r="D318" s="6">
        <v>45056</v>
      </c>
      <c r="E318" s="5" t="s">
        <v>100</v>
      </c>
      <c r="F318" s="5" t="s">
        <v>104</v>
      </c>
      <c r="G318" s="5" t="s">
        <v>90</v>
      </c>
      <c r="H318" s="5" t="s">
        <v>91</v>
      </c>
      <c r="I318" s="5" t="s">
        <v>115</v>
      </c>
      <c r="J318" s="5" t="s">
        <v>138</v>
      </c>
      <c r="K318" s="5" t="s">
        <v>113</v>
      </c>
      <c r="L318" s="5">
        <v>2</v>
      </c>
      <c r="M318" s="5">
        <v>788.72</v>
      </c>
      <c r="N318" s="5">
        <v>20</v>
      </c>
      <c r="O318" s="5">
        <v>1261.95</v>
      </c>
      <c r="P318">
        <f t="shared" si="52"/>
        <v>1577.44</v>
      </c>
      <c r="Q318">
        <f t="shared" si="53"/>
        <v>315.488</v>
      </c>
      <c r="R318">
        <f t="shared" si="54"/>
        <v>1261.952</v>
      </c>
      <c r="S318" t="str">
        <f t="shared" si="55"/>
        <v>Low</v>
      </c>
      <c r="T318" t="str">
        <f t="shared" si="56"/>
        <v>Low</v>
      </c>
      <c r="U318" t="str">
        <f t="shared" si="57"/>
        <v>Heavy Discount</v>
      </c>
      <c r="V318" t="str">
        <f t="shared" si="58"/>
        <v>Average</v>
      </c>
      <c r="W318">
        <f t="shared" si="59"/>
        <v>99</v>
      </c>
      <c r="X318">
        <f t="shared" si="60"/>
        <v>106</v>
      </c>
      <c r="Y318">
        <f t="shared" si="61"/>
        <v>23</v>
      </c>
      <c r="Z318" t="str">
        <f t="shared" si="62"/>
        <v>Not Eligible</v>
      </c>
      <c r="AA318" t="str">
        <f t="shared" si="63"/>
        <v>Normal Order</v>
      </c>
      <c r="AB318" t="str">
        <f t="shared" si="64"/>
        <v>Online</v>
      </c>
    </row>
    <row r="319" spans="1:28">
      <c r="A319" s="5">
        <v>10318</v>
      </c>
      <c r="B319" s="5">
        <v>1906</v>
      </c>
      <c r="C319" s="6">
        <v>45097</v>
      </c>
      <c r="D319" s="6">
        <v>45097</v>
      </c>
      <c r="E319" s="5" t="s">
        <v>81</v>
      </c>
      <c r="F319" s="5" t="s">
        <v>89</v>
      </c>
      <c r="G319" s="5" t="s">
        <v>96</v>
      </c>
      <c r="H319" s="5" t="s">
        <v>101</v>
      </c>
      <c r="I319" s="5" t="s">
        <v>115</v>
      </c>
      <c r="J319" s="5" t="s">
        <v>143</v>
      </c>
      <c r="K319" s="5" t="s">
        <v>87</v>
      </c>
      <c r="L319" s="5">
        <v>7</v>
      </c>
      <c r="M319" s="5">
        <v>245.03</v>
      </c>
      <c r="N319" s="5">
        <v>0</v>
      </c>
      <c r="O319" s="5">
        <v>1715.21</v>
      </c>
      <c r="P319">
        <f t="shared" si="52"/>
        <v>1715.21</v>
      </c>
      <c r="Q319">
        <f t="shared" si="53"/>
        <v>0</v>
      </c>
      <c r="R319">
        <f t="shared" si="54"/>
        <v>1715.21</v>
      </c>
      <c r="S319" t="str">
        <f t="shared" si="55"/>
        <v>High</v>
      </c>
      <c r="T319" t="str">
        <f t="shared" si="56"/>
        <v>High</v>
      </c>
      <c r="U319" t="str">
        <f t="shared" si="57"/>
        <v>Normal Discount</v>
      </c>
      <c r="V319" t="str">
        <f t="shared" si="58"/>
        <v>Average</v>
      </c>
      <c r="W319">
        <f t="shared" si="59"/>
        <v>99</v>
      </c>
      <c r="X319">
        <f t="shared" si="60"/>
        <v>106</v>
      </c>
      <c r="Y319">
        <f t="shared" si="61"/>
        <v>22</v>
      </c>
      <c r="Z319" t="str">
        <f t="shared" si="62"/>
        <v>Eligible</v>
      </c>
      <c r="AA319" t="str">
        <f t="shared" si="63"/>
        <v>Prriority Order</v>
      </c>
      <c r="AB319" t="str">
        <f t="shared" si="64"/>
        <v/>
      </c>
    </row>
    <row r="320" spans="1:28">
      <c r="A320" s="5">
        <v>10319</v>
      </c>
      <c r="B320" s="5">
        <v>1510</v>
      </c>
      <c r="C320" s="6">
        <v>45018</v>
      </c>
      <c r="D320" s="6">
        <v>45018</v>
      </c>
      <c r="E320" s="5" t="s">
        <v>88</v>
      </c>
      <c r="F320" s="5" t="s">
        <v>104</v>
      </c>
      <c r="G320" s="5" t="s">
        <v>90</v>
      </c>
      <c r="H320" s="5" t="s">
        <v>84</v>
      </c>
      <c r="I320" s="5" t="s">
        <v>115</v>
      </c>
      <c r="J320" s="5" t="s">
        <v>116</v>
      </c>
      <c r="K320" s="5" t="s">
        <v>94</v>
      </c>
      <c r="L320" s="5">
        <v>8</v>
      </c>
      <c r="M320" s="5">
        <v>1546.6</v>
      </c>
      <c r="N320" s="5">
        <v>15</v>
      </c>
      <c r="O320" s="5">
        <v>10516.88</v>
      </c>
      <c r="P320">
        <f t="shared" si="52"/>
        <v>12372.8</v>
      </c>
      <c r="Q320">
        <f t="shared" si="53"/>
        <v>1855.92</v>
      </c>
      <c r="R320">
        <f t="shared" si="54"/>
        <v>10516.88</v>
      </c>
      <c r="S320" t="str">
        <f t="shared" si="55"/>
        <v>High</v>
      </c>
      <c r="T320" t="str">
        <f t="shared" si="56"/>
        <v>High</v>
      </c>
      <c r="U320" t="str">
        <f t="shared" si="57"/>
        <v>Heavy Discount</v>
      </c>
      <c r="V320" t="str">
        <f t="shared" si="58"/>
        <v>Excellent Sales</v>
      </c>
      <c r="W320">
        <f t="shared" si="59"/>
        <v>99</v>
      </c>
      <c r="X320">
        <f t="shared" si="60"/>
        <v>106</v>
      </c>
      <c r="Y320">
        <f t="shared" si="61"/>
        <v>22</v>
      </c>
      <c r="Z320" t="str">
        <f t="shared" si="62"/>
        <v>Not Eligible</v>
      </c>
      <c r="AA320" t="str">
        <f t="shared" si="63"/>
        <v>Prriority Order</v>
      </c>
      <c r="AB320" t="str">
        <f t="shared" si="64"/>
        <v>Online</v>
      </c>
    </row>
    <row r="321" spans="1:28">
      <c r="A321" s="5">
        <v>10320</v>
      </c>
      <c r="B321" s="5">
        <v>1751</v>
      </c>
      <c r="C321" s="6">
        <v>45005</v>
      </c>
      <c r="D321" s="6">
        <v>45005</v>
      </c>
      <c r="E321" s="5" t="s">
        <v>81</v>
      </c>
      <c r="F321" s="5" t="s">
        <v>82</v>
      </c>
      <c r="G321" s="5" t="s">
        <v>83</v>
      </c>
      <c r="H321" s="5" t="s">
        <v>101</v>
      </c>
      <c r="I321" s="5" t="s">
        <v>92</v>
      </c>
      <c r="J321" s="5" t="s">
        <v>102</v>
      </c>
      <c r="K321" s="5" t="s">
        <v>94</v>
      </c>
      <c r="L321" s="5">
        <v>8</v>
      </c>
      <c r="M321" s="5">
        <v>2254.78</v>
      </c>
      <c r="N321" s="5">
        <v>0</v>
      </c>
      <c r="O321" s="5">
        <v>18038.24</v>
      </c>
      <c r="P321">
        <f t="shared" si="52"/>
        <v>18038.24</v>
      </c>
      <c r="Q321">
        <f t="shared" si="53"/>
        <v>0</v>
      </c>
      <c r="R321">
        <f t="shared" si="54"/>
        <v>18038.24</v>
      </c>
      <c r="S321" t="str">
        <f t="shared" si="55"/>
        <v>High</v>
      </c>
      <c r="T321" t="str">
        <f t="shared" si="56"/>
        <v>High</v>
      </c>
      <c r="U321" t="str">
        <f t="shared" si="57"/>
        <v>Normal Discount</v>
      </c>
      <c r="V321" t="str">
        <f t="shared" si="58"/>
        <v>Excellent Sales</v>
      </c>
      <c r="W321">
        <f t="shared" si="59"/>
        <v>99</v>
      </c>
      <c r="X321">
        <f t="shared" si="60"/>
        <v>106</v>
      </c>
      <c r="Y321">
        <f t="shared" si="61"/>
        <v>21</v>
      </c>
      <c r="Z321" t="str">
        <f t="shared" si="62"/>
        <v>Eligible</v>
      </c>
      <c r="AA321" t="str">
        <f t="shared" si="63"/>
        <v>Prriority Order</v>
      </c>
      <c r="AB321" t="str">
        <f t="shared" si="64"/>
        <v>Online</v>
      </c>
    </row>
    <row r="322" spans="1:28">
      <c r="A322" s="5">
        <v>10321</v>
      </c>
      <c r="B322" s="5">
        <v>1143</v>
      </c>
      <c r="C322" s="6">
        <v>45275</v>
      </c>
      <c r="D322" s="6">
        <v>45275</v>
      </c>
      <c r="E322" s="5" t="s">
        <v>103</v>
      </c>
      <c r="F322" s="5" t="s">
        <v>82</v>
      </c>
      <c r="G322" s="5" t="s">
        <v>96</v>
      </c>
      <c r="H322" s="5" t="s">
        <v>108</v>
      </c>
      <c r="I322" s="5" t="s">
        <v>123</v>
      </c>
      <c r="J322" s="5" t="s">
        <v>135</v>
      </c>
      <c r="K322" s="5" t="s">
        <v>111</v>
      </c>
      <c r="L322" s="5">
        <v>7</v>
      </c>
      <c r="M322" s="5">
        <v>3383.31</v>
      </c>
      <c r="N322" s="5">
        <v>20</v>
      </c>
      <c r="O322" s="5">
        <v>18946.54</v>
      </c>
      <c r="P322">
        <f t="shared" si="52"/>
        <v>23683.17</v>
      </c>
      <c r="Q322">
        <f t="shared" si="53"/>
        <v>4736.634</v>
      </c>
      <c r="R322">
        <f t="shared" si="54"/>
        <v>18946.536</v>
      </c>
      <c r="S322" t="str">
        <f t="shared" si="55"/>
        <v>High</v>
      </c>
      <c r="T322" t="str">
        <f t="shared" si="56"/>
        <v>High</v>
      </c>
      <c r="U322" t="str">
        <f t="shared" si="57"/>
        <v>Heavy Discount</v>
      </c>
      <c r="V322" t="str">
        <f t="shared" si="58"/>
        <v>Excellent Sales</v>
      </c>
      <c r="W322">
        <f t="shared" si="59"/>
        <v>99</v>
      </c>
      <c r="X322">
        <f t="shared" si="60"/>
        <v>106</v>
      </c>
      <c r="Y322">
        <f t="shared" si="61"/>
        <v>21</v>
      </c>
      <c r="Z322" t="str">
        <f t="shared" si="62"/>
        <v>Not Eligible</v>
      </c>
      <c r="AA322" t="str">
        <f t="shared" si="63"/>
        <v>Prriority Order</v>
      </c>
      <c r="AB322" t="str">
        <f t="shared" si="64"/>
        <v/>
      </c>
    </row>
    <row r="323" spans="1:28">
      <c r="A323" s="5">
        <v>10322</v>
      </c>
      <c r="B323" s="5">
        <v>1608</v>
      </c>
      <c r="C323" s="6">
        <v>45222</v>
      </c>
      <c r="D323" s="6">
        <v>45222</v>
      </c>
      <c r="E323" s="5" t="s">
        <v>81</v>
      </c>
      <c r="F323" s="5" t="s">
        <v>127</v>
      </c>
      <c r="G323" s="5" t="s">
        <v>96</v>
      </c>
      <c r="H323" s="5" t="s">
        <v>101</v>
      </c>
      <c r="I323" s="5" t="s">
        <v>92</v>
      </c>
      <c r="J323" s="5" t="s">
        <v>136</v>
      </c>
      <c r="K323" s="5" t="s">
        <v>94</v>
      </c>
      <c r="L323" s="5">
        <v>5</v>
      </c>
      <c r="M323" s="5">
        <v>640.82</v>
      </c>
      <c r="N323" s="5">
        <v>0</v>
      </c>
      <c r="O323" s="5">
        <v>3204.1</v>
      </c>
      <c r="P323">
        <f t="shared" ref="P323:P386" si="65">L323*M323</f>
        <v>3204.1</v>
      </c>
      <c r="Q323">
        <f t="shared" ref="Q323:Q386" si="66">P323*(N323/100)</f>
        <v>0</v>
      </c>
      <c r="R323">
        <f t="shared" ref="R323:R386" si="67">P323-Q323</f>
        <v>3204.1</v>
      </c>
      <c r="S323" t="str">
        <f t="shared" ref="S323:S386" si="68">IF(L323&gt;=5,"High","Low")</f>
        <v>High</v>
      </c>
      <c r="T323" t="str">
        <f t="shared" ref="T323:T386" si="69">IF(L323&gt;5,"High",IF(L323=5,"Medium","Low"))</f>
        <v>Medium</v>
      </c>
      <c r="U323" t="str">
        <f t="shared" ref="U323:U386" si="70">IF(N323&gt;10%,"Heavy Discount","Normal Discount")</f>
        <v>Normal Discount</v>
      </c>
      <c r="V323" t="str">
        <f t="shared" ref="V323:V386" si="71">IF(O323&gt;=7000,"Excellent Sales",IF(O323&gt;=4000,"Good","Average"))</f>
        <v>Average</v>
      </c>
      <c r="W323">
        <f t="shared" ref="W323:W386" si="72">COUNTIF($I$2:$I$501,"Beauty")</f>
        <v>99</v>
      </c>
      <c r="X323">
        <f t="shared" ref="X323:X386" si="73">COUNTIF($N$2:$N$501,"&gt;15")</f>
        <v>106</v>
      </c>
      <c r="Y323">
        <f t="shared" ref="Y323:Y386" si="74">COUNTIFS(I323:I822,"Electronics",G323:G822,"&lt;&gt;Marketplace")</f>
        <v>21</v>
      </c>
      <c r="Z323" t="str">
        <f t="shared" ref="Z323:Z386" si="75">IF(AND(O323:O822,N323&lt;10%),"Eligible","Not Eligible")</f>
        <v>Eligible</v>
      </c>
      <c r="AA323" t="str">
        <f t="shared" ref="AA323:AA386" si="76">IF(OR(O323&gt;7000,L323&gt;5),"Prriority Order","Normal Order")</f>
        <v>Normal Order</v>
      </c>
      <c r="AB323" t="str">
        <f t="shared" ref="AB323:AB386" si="77">IF(G323&lt;&gt;"Marketplace","Online","")</f>
        <v/>
      </c>
    </row>
    <row r="324" spans="1:28">
      <c r="A324" s="5">
        <v>10323</v>
      </c>
      <c r="B324" s="5">
        <v>1200</v>
      </c>
      <c r="C324" s="6">
        <v>44991</v>
      </c>
      <c r="D324" s="6">
        <v>44991</v>
      </c>
      <c r="E324" s="5" t="s">
        <v>112</v>
      </c>
      <c r="F324" s="5" t="s">
        <v>82</v>
      </c>
      <c r="G324" s="5" t="s">
        <v>90</v>
      </c>
      <c r="H324" s="5" t="s">
        <v>110</v>
      </c>
      <c r="I324" s="5" t="s">
        <v>97</v>
      </c>
      <c r="J324" s="5" t="s">
        <v>114</v>
      </c>
      <c r="K324" s="5" t="s">
        <v>99</v>
      </c>
      <c r="L324" s="5">
        <v>1</v>
      </c>
      <c r="M324" s="5">
        <v>3230.79</v>
      </c>
      <c r="N324" s="5">
        <v>5</v>
      </c>
      <c r="O324" s="5">
        <v>3069.25</v>
      </c>
      <c r="P324">
        <f t="shared" si="65"/>
        <v>3230.79</v>
      </c>
      <c r="Q324">
        <f t="shared" si="66"/>
        <v>161.5395</v>
      </c>
      <c r="R324">
        <f t="shared" si="67"/>
        <v>3069.2505</v>
      </c>
      <c r="S324" t="str">
        <f t="shared" si="68"/>
        <v>Low</v>
      </c>
      <c r="T324" t="str">
        <f t="shared" si="69"/>
        <v>Low</v>
      </c>
      <c r="U324" t="str">
        <f t="shared" si="70"/>
        <v>Heavy Discount</v>
      </c>
      <c r="V324" t="str">
        <f t="shared" si="71"/>
        <v>Average</v>
      </c>
      <c r="W324">
        <f t="shared" si="72"/>
        <v>99</v>
      </c>
      <c r="X324">
        <f t="shared" si="73"/>
        <v>106</v>
      </c>
      <c r="Y324">
        <f t="shared" si="74"/>
        <v>21</v>
      </c>
      <c r="Z324" t="str">
        <f t="shared" si="75"/>
        <v>Not Eligible</v>
      </c>
      <c r="AA324" t="str">
        <f t="shared" si="76"/>
        <v>Normal Order</v>
      </c>
      <c r="AB324" t="str">
        <f t="shared" si="77"/>
        <v>Online</v>
      </c>
    </row>
    <row r="325" spans="1:28">
      <c r="A325" s="5">
        <v>10324</v>
      </c>
      <c r="B325" s="5">
        <v>1123</v>
      </c>
      <c r="C325" s="6">
        <v>45070</v>
      </c>
      <c r="D325" s="6">
        <v>45070</v>
      </c>
      <c r="E325" s="5" t="s">
        <v>112</v>
      </c>
      <c r="F325" s="5" t="s">
        <v>107</v>
      </c>
      <c r="G325" s="5" t="s">
        <v>90</v>
      </c>
      <c r="H325" s="5" t="s">
        <v>110</v>
      </c>
      <c r="I325" s="5" t="s">
        <v>132</v>
      </c>
      <c r="J325" s="5" t="s">
        <v>133</v>
      </c>
      <c r="K325" s="5" t="s">
        <v>99</v>
      </c>
      <c r="L325" s="5">
        <v>9</v>
      </c>
      <c r="M325" s="5">
        <v>3472.58</v>
      </c>
      <c r="N325" s="5">
        <v>15</v>
      </c>
      <c r="O325" s="5">
        <v>26565.24</v>
      </c>
      <c r="P325">
        <f t="shared" si="65"/>
        <v>31253.22</v>
      </c>
      <c r="Q325">
        <f t="shared" si="66"/>
        <v>4687.983</v>
      </c>
      <c r="R325">
        <f t="shared" si="67"/>
        <v>26565.237</v>
      </c>
      <c r="S325" t="str">
        <f t="shared" si="68"/>
        <v>High</v>
      </c>
      <c r="T325" t="str">
        <f t="shared" si="69"/>
        <v>High</v>
      </c>
      <c r="U325" t="str">
        <f t="shared" si="70"/>
        <v>Heavy Discount</v>
      </c>
      <c r="V325" t="str">
        <f t="shared" si="71"/>
        <v>Excellent Sales</v>
      </c>
      <c r="W325">
        <f t="shared" si="72"/>
        <v>99</v>
      </c>
      <c r="X325">
        <f t="shared" si="73"/>
        <v>106</v>
      </c>
      <c r="Y325">
        <f t="shared" si="74"/>
        <v>21</v>
      </c>
      <c r="Z325" t="str">
        <f t="shared" si="75"/>
        <v>Not Eligible</v>
      </c>
      <c r="AA325" t="str">
        <f t="shared" si="76"/>
        <v>Prriority Order</v>
      </c>
      <c r="AB325" t="str">
        <f t="shared" si="77"/>
        <v>Online</v>
      </c>
    </row>
    <row r="326" spans="1:28">
      <c r="A326" s="5">
        <v>10325</v>
      </c>
      <c r="B326" s="5">
        <v>1186</v>
      </c>
      <c r="C326" s="6">
        <v>45030</v>
      </c>
      <c r="D326" s="6">
        <v>45030</v>
      </c>
      <c r="E326" s="5" t="s">
        <v>103</v>
      </c>
      <c r="F326" s="5" t="s">
        <v>104</v>
      </c>
      <c r="G326" s="5" t="s">
        <v>96</v>
      </c>
      <c r="H326" s="5" t="s">
        <v>101</v>
      </c>
      <c r="I326" s="5" t="s">
        <v>123</v>
      </c>
      <c r="J326" s="5" t="s">
        <v>139</v>
      </c>
      <c r="K326" s="5" t="s">
        <v>111</v>
      </c>
      <c r="L326" s="5">
        <v>7</v>
      </c>
      <c r="M326" s="5">
        <v>730.15</v>
      </c>
      <c r="N326" s="5">
        <v>0</v>
      </c>
      <c r="O326" s="5">
        <v>5111.05</v>
      </c>
      <c r="P326">
        <f t="shared" si="65"/>
        <v>5111.05</v>
      </c>
      <c r="Q326">
        <f t="shared" si="66"/>
        <v>0</v>
      </c>
      <c r="R326">
        <f t="shared" si="67"/>
        <v>5111.05</v>
      </c>
      <c r="S326" t="str">
        <f t="shared" si="68"/>
        <v>High</v>
      </c>
      <c r="T326" t="str">
        <f t="shared" si="69"/>
        <v>High</v>
      </c>
      <c r="U326" t="str">
        <f t="shared" si="70"/>
        <v>Normal Discount</v>
      </c>
      <c r="V326" t="str">
        <f t="shared" si="71"/>
        <v>Good</v>
      </c>
      <c r="W326">
        <f t="shared" si="72"/>
        <v>99</v>
      </c>
      <c r="X326">
        <f t="shared" si="73"/>
        <v>106</v>
      </c>
      <c r="Y326">
        <f t="shared" si="74"/>
        <v>21</v>
      </c>
      <c r="Z326" t="str">
        <f t="shared" si="75"/>
        <v>Eligible</v>
      </c>
      <c r="AA326" t="str">
        <f t="shared" si="76"/>
        <v>Prriority Order</v>
      </c>
      <c r="AB326" t="str">
        <f t="shared" si="77"/>
        <v/>
      </c>
    </row>
    <row r="327" spans="1:28">
      <c r="A327" s="5">
        <v>10326</v>
      </c>
      <c r="B327" s="5">
        <v>1325</v>
      </c>
      <c r="C327" s="6">
        <v>45124</v>
      </c>
      <c r="D327" s="6">
        <v>45124</v>
      </c>
      <c r="E327" s="5" t="s">
        <v>103</v>
      </c>
      <c r="F327" s="5" t="s">
        <v>82</v>
      </c>
      <c r="G327" s="5" t="s">
        <v>90</v>
      </c>
      <c r="H327" s="5" t="s">
        <v>110</v>
      </c>
      <c r="I327" s="5" t="s">
        <v>123</v>
      </c>
      <c r="J327" s="5" t="s">
        <v>135</v>
      </c>
      <c r="K327" s="5" t="s">
        <v>99</v>
      </c>
      <c r="L327" s="5">
        <v>2</v>
      </c>
      <c r="M327" s="5">
        <v>3428.64</v>
      </c>
      <c r="N327" s="5">
        <v>10</v>
      </c>
      <c r="O327" s="5">
        <v>6171.55</v>
      </c>
      <c r="P327">
        <f t="shared" si="65"/>
        <v>6857.28</v>
      </c>
      <c r="Q327">
        <f t="shared" si="66"/>
        <v>685.728</v>
      </c>
      <c r="R327">
        <f t="shared" si="67"/>
        <v>6171.552</v>
      </c>
      <c r="S327" t="str">
        <f t="shared" si="68"/>
        <v>Low</v>
      </c>
      <c r="T327" t="str">
        <f t="shared" si="69"/>
        <v>Low</v>
      </c>
      <c r="U327" t="str">
        <f t="shared" si="70"/>
        <v>Heavy Discount</v>
      </c>
      <c r="V327" t="str">
        <f t="shared" si="71"/>
        <v>Good</v>
      </c>
      <c r="W327">
        <f t="shared" si="72"/>
        <v>99</v>
      </c>
      <c r="X327">
        <f t="shared" si="73"/>
        <v>106</v>
      </c>
      <c r="Y327">
        <f t="shared" si="74"/>
        <v>21</v>
      </c>
      <c r="Z327" t="str">
        <f t="shared" si="75"/>
        <v>Not Eligible</v>
      </c>
      <c r="AA327" t="str">
        <f t="shared" si="76"/>
        <v>Normal Order</v>
      </c>
      <c r="AB327" t="str">
        <f t="shared" si="77"/>
        <v>Online</v>
      </c>
    </row>
    <row r="328" spans="1:28">
      <c r="A328" s="5">
        <v>10327</v>
      </c>
      <c r="B328" s="5">
        <v>1463</v>
      </c>
      <c r="C328" s="6">
        <v>45176</v>
      </c>
      <c r="D328" s="6">
        <v>45176</v>
      </c>
      <c r="E328" s="5" t="s">
        <v>88</v>
      </c>
      <c r="F328" s="5" t="s">
        <v>89</v>
      </c>
      <c r="G328" s="5" t="s">
        <v>83</v>
      </c>
      <c r="H328" s="5" t="s">
        <v>108</v>
      </c>
      <c r="I328" s="5" t="s">
        <v>123</v>
      </c>
      <c r="J328" s="5" t="s">
        <v>135</v>
      </c>
      <c r="K328" s="5" t="s">
        <v>113</v>
      </c>
      <c r="L328" s="5">
        <v>6</v>
      </c>
      <c r="M328" s="5">
        <v>3967.1</v>
      </c>
      <c r="N328" s="5">
        <v>0</v>
      </c>
      <c r="O328" s="5">
        <v>23802.6</v>
      </c>
      <c r="P328">
        <f t="shared" si="65"/>
        <v>23802.6</v>
      </c>
      <c r="Q328">
        <f t="shared" si="66"/>
        <v>0</v>
      </c>
      <c r="R328">
        <f t="shared" si="67"/>
        <v>23802.6</v>
      </c>
      <c r="S328" t="str">
        <f t="shared" si="68"/>
        <v>High</v>
      </c>
      <c r="T328" t="str">
        <f t="shared" si="69"/>
        <v>High</v>
      </c>
      <c r="U328" t="str">
        <f t="shared" si="70"/>
        <v>Normal Discount</v>
      </c>
      <c r="V328" t="str">
        <f t="shared" si="71"/>
        <v>Excellent Sales</v>
      </c>
      <c r="W328">
        <f t="shared" si="72"/>
        <v>99</v>
      </c>
      <c r="X328">
        <f t="shared" si="73"/>
        <v>106</v>
      </c>
      <c r="Y328">
        <f t="shared" si="74"/>
        <v>21</v>
      </c>
      <c r="Z328" t="str">
        <f t="shared" si="75"/>
        <v>Eligible</v>
      </c>
      <c r="AA328" t="str">
        <f t="shared" si="76"/>
        <v>Prriority Order</v>
      </c>
      <c r="AB328" t="str">
        <f t="shared" si="77"/>
        <v>Online</v>
      </c>
    </row>
    <row r="329" spans="1:28">
      <c r="A329" s="5">
        <v>10328</v>
      </c>
      <c r="B329" s="5">
        <v>1348</v>
      </c>
      <c r="C329" s="6">
        <v>45250</v>
      </c>
      <c r="D329" s="6">
        <v>45250</v>
      </c>
      <c r="E329" s="5" t="s">
        <v>88</v>
      </c>
      <c r="F329" s="5" t="s">
        <v>127</v>
      </c>
      <c r="G329" s="5" t="s">
        <v>90</v>
      </c>
      <c r="H329" s="5" t="s">
        <v>91</v>
      </c>
      <c r="I329" s="5" t="s">
        <v>123</v>
      </c>
      <c r="J329" s="5" t="s">
        <v>124</v>
      </c>
      <c r="K329" s="5" t="s">
        <v>111</v>
      </c>
      <c r="L329" s="5">
        <v>2</v>
      </c>
      <c r="M329" s="5">
        <v>2948.33</v>
      </c>
      <c r="N329" s="5">
        <v>15</v>
      </c>
      <c r="O329" s="5">
        <v>5012.16</v>
      </c>
      <c r="P329">
        <f t="shared" si="65"/>
        <v>5896.66</v>
      </c>
      <c r="Q329">
        <f t="shared" si="66"/>
        <v>884.499</v>
      </c>
      <c r="R329">
        <f t="shared" si="67"/>
        <v>5012.161</v>
      </c>
      <c r="S329" t="str">
        <f t="shared" si="68"/>
        <v>Low</v>
      </c>
      <c r="T329" t="str">
        <f t="shared" si="69"/>
        <v>Low</v>
      </c>
      <c r="U329" t="str">
        <f t="shared" si="70"/>
        <v>Heavy Discount</v>
      </c>
      <c r="V329" t="str">
        <f t="shared" si="71"/>
        <v>Good</v>
      </c>
      <c r="W329">
        <f t="shared" si="72"/>
        <v>99</v>
      </c>
      <c r="X329">
        <f t="shared" si="73"/>
        <v>106</v>
      </c>
      <c r="Y329">
        <f t="shared" si="74"/>
        <v>21</v>
      </c>
      <c r="Z329" t="str">
        <f t="shared" si="75"/>
        <v>Not Eligible</v>
      </c>
      <c r="AA329" t="str">
        <f t="shared" si="76"/>
        <v>Normal Order</v>
      </c>
      <c r="AB329" t="str">
        <f t="shared" si="77"/>
        <v>Online</v>
      </c>
    </row>
    <row r="330" spans="1:28">
      <c r="A330" s="5">
        <v>10329</v>
      </c>
      <c r="B330" s="5">
        <v>1770</v>
      </c>
      <c r="C330" s="6">
        <v>44976</v>
      </c>
      <c r="D330" s="6">
        <v>44976</v>
      </c>
      <c r="E330" s="5" t="s">
        <v>106</v>
      </c>
      <c r="F330" s="5" t="s">
        <v>104</v>
      </c>
      <c r="G330" s="5" t="s">
        <v>83</v>
      </c>
      <c r="H330" s="5" t="s">
        <v>110</v>
      </c>
      <c r="I330" s="5" t="s">
        <v>92</v>
      </c>
      <c r="J330" s="5" t="s">
        <v>93</v>
      </c>
      <c r="K330" s="5" t="s">
        <v>113</v>
      </c>
      <c r="L330" s="5">
        <v>1</v>
      </c>
      <c r="M330" s="5">
        <v>3171.36</v>
      </c>
      <c r="N330" s="5">
        <v>20</v>
      </c>
      <c r="O330" s="5">
        <v>2537.09</v>
      </c>
      <c r="P330">
        <f t="shared" si="65"/>
        <v>3171.36</v>
      </c>
      <c r="Q330">
        <f t="shared" si="66"/>
        <v>634.272</v>
      </c>
      <c r="R330">
        <f t="shared" si="67"/>
        <v>2537.088</v>
      </c>
      <c r="S330" t="str">
        <f t="shared" si="68"/>
        <v>Low</v>
      </c>
      <c r="T330" t="str">
        <f t="shared" si="69"/>
        <v>Low</v>
      </c>
      <c r="U330" t="str">
        <f t="shared" si="70"/>
        <v>Heavy Discount</v>
      </c>
      <c r="V330" t="str">
        <f t="shared" si="71"/>
        <v>Average</v>
      </c>
      <c r="W330">
        <f t="shared" si="72"/>
        <v>99</v>
      </c>
      <c r="X330">
        <f t="shared" si="73"/>
        <v>106</v>
      </c>
      <c r="Y330">
        <f t="shared" si="74"/>
        <v>21</v>
      </c>
      <c r="Z330" t="str">
        <f t="shared" si="75"/>
        <v>Not Eligible</v>
      </c>
      <c r="AA330" t="str">
        <f t="shared" si="76"/>
        <v>Normal Order</v>
      </c>
      <c r="AB330" t="str">
        <f t="shared" si="77"/>
        <v>Online</v>
      </c>
    </row>
    <row r="331" spans="1:28">
      <c r="A331" s="5">
        <v>10330</v>
      </c>
      <c r="B331" s="5">
        <v>1659</v>
      </c>
      <c r="C331" s="6">
        <v>44966</v>
      </c>
      <c r="D331" s="6">
        <v>44966</v>
      </c>
      <c r="E331" s="5" t="s">
        <v>103</v>
      </c>
      <c r="F331" s="5" t="s">
        <v>127</v>
      </c>
      <c r="G331" s="5" t="s">
        <v>83</v>
      </c>
      <c r="H331" s="5" t="s">
        <v>110</v>
      </c>
      <c r="I331" s="5" t="s">
        <v>123</v>
      </c>
      <c r="J331" s="5" t="s">
        <v>139</v>
      </c>
      <c r="K331" s="5" t="s">
        <v>87</v>
      </c>
      <c r="L331" s="5">
        <v>7</v>
      </c>
      <c r="M331" s="5">
        <v>3978.5</v>
      </c>
      <c r="N331" s="5">
        <v>20</v>
      </c>
      <c r="O331" s="5">
        <v>22279.6</v>
      </c>
      <c r="P331">
        <f t="shared" si="65"/>
        <v>27849.5</v>
      </c>
      <c r="Q331">
        <f t="shared" si="66"/>
        <v>5569.9</v>
      </c>
      <c r="R331">
        <f t="shared" si="67"/>
        <v>22279.6</v>
      </c>
      <c r="S331" t="str">
        <f t="shared" si="68"/>
        <v>High</v>
      </c>
      <c r="T331" t="str">
        <f t="shared" si="69"/>
        <v>High</v>
      </c>
      <c r="U331" t="str">
        <f t="shared" si="70"/>
        <v>Heavy Discount</v>
      </c>
      <c r="V331" t="str">
        <f t="shared" si="71"/>
        <v>Excellent Sales</v>
      </c>
      <c r="W331">
        <f t="shared" si="72"/>
        <v>99</v>
      </c>
      <c r="X331">
        <f t="shared" si="73"/>
        <v>106</v>
      </c>
      <c r="Y331">
        <f t="shared" si="74"/>
        <v>21</v>
      </c>
      <c r="Z331" t="str">
        <f t="shared" si="75"/>
        <v>Not Eligible</v>
      </c>
      <c r="AA331" t="str">
        <f t="shared" si="76"/>
        <v>Prriority Order</v>
      </c>
      <c r="AB331" t="str">
        <f t="shared" si="77"/>
        <v>Online</v>
      </c>
    </row>
    <row r="332" spans="1:28">
      <c r="A332" s="5">
        <v>10331</v>
      </c>
      <c r="B332" s="5">
        <v>1763</v>
      </c>
      <c r="C332" s="6">
        <v>45207</v>
      </c>
      <c r="D332" s="6">
        <v>45207</v>
      </c>
      <c r="E332" s="5" t="s">
        <v>100</v>
      </c>
      <c r="F332" s="5" t="s">
        <v>104</v>
      </c>
      <c r="G332" s="5" t="s">
        <v>83</v>
      </c>
      <c r="H332" s="5" t="s">
        <v>101</v>
      </c>
      <c r="I332" s="5" t="s">
        <v>85</v>
      </c>
      <c r="J332" s="5" t="s">
        <v>129</v>
      </c>
      <c r="K332" s="5" t="s">
        <v>113</v>
      </c>
      <c r="L332" s="5">
        <v>2</v>
      </c>
      <c r="M332" s="5">
        <v>2481.1</v>
      </c>
      <c r="N332" s="5">
        <v>15</v>
      </c>
      <c r="O332" s="5">
        <v>4217.87</v>
      </c>
      <c r="P332">
        <f t="shared" si="65"/>
        <v>4962.2</v>
      </c>
      <c r="Q332">
        <f t="shared" si="66"/>
        <v>744.33</v>
      </c>
      <c r="R332">
        <f t="shared" si="67"/>
        <v>4217.87</v>
      </c>
      <c r="S332" t="str">
        <f t="shared" si="68"/>
        <v>Low</v>
      </c>
      <c r="T332" t="str">
        <f t="shared" si="69"/>
        <v>Low</v>
      </c>
      <c r="U332" t="str">
        <f t="shared" si="70"/>
        <v>Heavy Discount</v>
      </c>
      <c r="V332" t="str">
        <f t="shared" si="71"/>
        <v>Good</v>
      </c>
      <c r="W332">
        <f t="shared" si="72"/>
        <v>99</v>
      </c>
      <c r="X332">
        <f t="shared" si="73"/>
        <v>106</v>
      </c>
      <c r="Y332">
        <f t="shared" si="74"/>
        <v>21</v>
      </c>
      <c r="Z332" t="str">
        <f t="shared" si="75"/>
        <v>Not Eligible</v>
      </c>
      <c r="AA332" t="str">
        <f t="shared" si="76"/>
        <v>Normal Order</v>
      </c>
      <c r="AB332" t="str">
        <f t="shared" si="77"/>
        <v>Online</v>
      </c>
    </row>
    <row r="333" spans="1:28">
      <c r="A333" s="5">
        <v>10332</v>
      </c>
      <c r="B333" s="5">
        <v>1954</v>
      </c>
      <c r="C333" s="6">
        <v>44955</v>
      </c>
      <c r="D333" s="6">
        <v>44955</v>
      </c>
      <c r="E333" s="5" t="s">
        <v>81</v>
      </c>
      <c r="F333" s="5" t="s">
        <v>89</v>
      </c>
      <c r="G333" s="5" t="s">
        <v>83</v>
      </c>
      <c r="H333" s="5" t="s">
        <v>108</v>
      </c>
      <c r="I333" s="5" t="s">
        <v>132</v>
      </c>
      <c r="J333" s="5" t="s">
        <v>142</v>
      </c>
      <c r="K333" s="5" t="s">
        <v>87</v>
      </c>
      <c r="L333" s="5">
        <v>2</v>
      </c>
      <c r="M333" s="5">
        <v>1335.36</v>
      </c>
      <c r="N333" s="5">
        <v>5</v>
      </c>
      <c r="O333" s="5">
        <v>2537.18</v>
      </c>
      <c r="P333">
        <f t="shared" si="65"/>
        <v>2670.72</v>
      </c>
      <c r="Q333">
        <f t="shared" si="66"/>
        <v>133.536</v>
      </c>
      <c r="R333">
        <f t="shared" si="67"/>
        <v>2537.184</v>
      </c>
      <c r="S333" t="str">
        <f t="shared" si="68"/>
        <v>Low</v>
      </c>
      <c r="T333" t="str">
        <f t="shared" si="69"/>
        <v>Low</v>
      </c>
      <c r="U333" t="str">
        <f t="shared" si="70"/>
        <v>Heavy Discount</v>
      </c>
      <c r="V333" t="str">
        <f t="shared" si="71"/>
        <v>Average</v>
      </c>
      <c r="W333">
        <f t="shared" si="72"/>
        <v>99</v>
      </c>
      <c r="X333">
        <f t="shared" si="73"/>
        <v>106</v>
      </c>
      <c r="Y333">
        <f t="shared" si="74"/>
        <v>21</v>
      </c>
      <c r="Z333" t="str">
        <f t="shared" si="75"/>
        <v>Not Eligible</v>
      </c>
      <c r="AA333" t="str">
        <f t="shared" si="76"/>
        <v>Normal Order</v>
      </c>
      <c r="AB333" t="str">
        <f t="shared" si="77"/>
        <v>Online</v>
      </c>
    </row>
    <row r="334" spans="1:28">
      <c r="A334" s="5">
        <v>10333</v>
      </c>
      <c r="B334" s="5">
        <v>1931</v>
      </c>
      <c r="C334" s="6">
        <v>45086</v>
      </c>
      <c r="D334" s="6">
        <v>45086</v>
      </c>
      <c r="E334" s="5" t="s">
        <v>103</v>
      </c>
      <c r="F334" s="5" t="s">
        <v>127</v>
      </c>
      <c r="G334" s="5" t="s">
        <v>83</v>
      </c>
      <c r="H334" s="5" t="s">
        <v>91</v>
      </c>
      <c r="I334" s="5" t="s">
        <v>123</v>
      </c>
      <c r="J334" s="5" t="s">
        <v>135</v>
      </c>
      <c r="K334" s="5" t="s">
        <v>87</v>
      </c>
      <c r="L334" s="5">
        <v>5</v>
      </c>
      <c r="M334" s="5">
        <v>3374.49</v>
      </c>
      <c r="N334" s="5">
        <v>5</v>
      </c>
      <c r="O334" s="5">
        <v>16028.83</v>
      </c>
      <c r="P334">
        <f t="shared" si="65"/>
        <v>16872.45</v>
      </c>
      <c r="Q334">
        <f t="shared" si="66"/>
        <v>843.6225</v>
      </c>
      <c r="R334">
        <f t="shared" si="67"/>
        <v>16028.8275</v>
      </c>
      <c r="S334" t="str">
        <f t="shared" si="68"/>
        <v>High</v>
      </c>
      <c r="T334" t="str">
        <f t="shared" si="69"/>
        <v>Medium</v>
      </c>
      <c r="U334" t="str">
        <f t="shared" si="70"/>
        <v>Heavy Discount</v>
      </c>
      <c r="V334" t="str">
        <f t="shared" si="71"/>
        <v>Excellent Sales</v>
      </c>
      <c r="W334">
        <f t="shared" si="72"/>
        <v>99</v>
      </c>
      <c r="X334">
        <f t="shared" si="73"/>
        <v>106</v>
      </c>
      <c r="Y334">
        <f t="shared" si="74"/>
        <v>21</v>
      </c>
      <c r="Z334" t="str">
        <f t="shared" si="75"/>
        <v>Not Eligible</v>
      </c>
      <c r="AA334" t="str">
        <f t="shared" si="76"/>
        <v>Prriority Order</v>
      </c>
      <c r="AB334" t="str">
        <f t="shared" si="77"/>
        <v>Online</v>
      </c>
    </row>
    <row r="335" spans="1:28">
      <c r="A335" s="5">
        <v>10334</v>
      </c>
      <c r="B335" s="5">
        <v>1402</v>
      </c>
      <c r="C335" s="6">
        <v>44995</v>
      </c>
      <c r="D335" s="6">
        <v>44995</v>
      </c>
      <c r="E335" s="5" t="s">
        <v>82</v>
      </c>
      <c r="F335" s="5" t="s">
        <v>95</v>
      </c>
      <c r="G335" s="5" t="s">
        <v>90</v>
      </c>
      <c r="H335" s="5" t="s">
        <v>101</v>
      </c>
      <c r="I335" s="5" t="s">
        <v>132</v>
      </c>
      <c r="J335" s="5" t="s">
        <v>134</v>
      </c>
      <c r="K335" s="5" t="s">
        <v>113</v>
      </c>
      <c r="L335" s="5">
        <v>5</v>
      </c>
      <c r="M335" s="5">
        <v>2515.77</v>
      </c>
      <c r="N335" s="5">
        <v>20</v>
      </c>
      <c r="O335" s="5">
        <v>10063.08</v>
      </c>
      <c r="P335">
        <f t="shared" si="65"/>
        <v>12578.85</v>
      </c>
      <c r="Q335">
        <f t="shared" si="66"/>
        <v>2515.77</v>
      </c>
      <c r="R335">
        <f t="shared" si="67"/>
        <v>10063.08</v>
      </c>
      <c r="S335" t="str">
        <f t="shared" si="68"/>
        <v>High</v>
      </c>
      <c r="T335" t="str">
        <f t="shared" si="69"/>
        <v>Medium</v>
      </c>
      <c r="U335" t="str">
        <f t="shared" si="70"/>
        <v>Heavy Discount</v>
      </c>
      <c r="V335" t="str">
        <f t="shared" si="71"/>
        <v>Excellent Sales</v>
      </c>
      <c r="W335">
        <f t="shared" si="72"/>
        <v>99</v>
      </c>
      <c r="X335">
        <f t="shared" si="73"/>
        <v>106</v>
      </c>
      <c r="Y335">
        <f t="shared" si="74"/>
        <v>21</v>
      </c>
      <c r="Z335" t="str">
        <f t="shared" si="75"/>
        <v>Not Eligible</v>
      </c>
      <c r="AA335" t="str">
        <f t="shared" si="76"/>
        <v>Prriority Order</v>
      </c>
      <c r="AB335" t="str">
        <f t="shared" si="77"/>
        <v>Online</v>
      </c>
    </row>
    <row r="336" spans="1:28">
      <c r="A336" s="5">
        <v>10335</v>
      </c>
      <c r="B336" s="5">
        <v>1345</v>
      </c>
      <c r="C336" s="6">
        <v>45143</v>
      </c>
      <c r="D336" s="6">
        <v>45143</v>
      </c>
      <c r="E336" s="5" t="s">
        <v>106</v>
      </c>
      <c r="F336" s="5" t="s">
        <v>107</v>
      </c>
      <c r="G336" s="5" t="s">
        <v>83</v>
      </c>
      <c r="H336" s="5" t="s">
        <v>101</v>
      </c>
      <c r="I336" s="5" t="s">
        <v>85</v>
      </c>
      <c r="J336" s="5" t="s">
        <v>109</v>
      </c>
      <c r="K336" s="5" t="s">
        <v>111</v>
      </c>
      <c r="L336" s="5">
        <v>7</v>
      </c>
      <c r="M336" s="5">
        <v>2387.6</v>
      </c>
      <c r="N336" s="5">
        <v>20</v>
      </c>
      <c r="O336" s="5">
        <v>13370.56</v>
      </c>
      <c r="P336">
        <f t="shared" si="65"/>
        <v>16713.2</v>
      </c>
      <c r="Q336">
        <f t="shared" si="66"/>
        <v>3342.64</v>
      </c>
      <c r="R336">
        <f t="shared" si="67"/>
        <v>13370.56</v>
      </c>
      <c r="S336" t="str">
        <f t="shared" si="68"/>
        <v>High</v>
      </c>
      <c r="T336" t="str">
        <f t="shared" si="69"/>
        <v>High</v>
      </c>
      <c r="U336" t="str">
        <f t="shared" si="70"/>
        <v>Heavy Discount</v>
      </c>
      <c r="V336" t="str">
        <f t="shared" si="71"/>
        <v>Excellent Sales</v>
      </c>
      <c r="W336">
        <f t="shared" si="72"/>
        <v>99</v>
      </c>
      <c r="X336">
        <f t="shared" si="73"/>
        <v>106</v>
      </c>
      <c r="Y336">
        <f t="shared" si="74"/>
        <v>21</v>
      </c>
      <c r="Z336" t="str">
        <f t="shared" si="75"/>
        <v>Not Eligible</v>
      </c>
      <c r="AA336" t="str">
        <f t="shared" si="76"/>
        <v>Prriority Order</v>
      </c>
      <c r="AB336" t="str">
        <f t="shared" si="77"/>
        <v>Online</v>
      </c>
    </row>
    <row r="337" spans="1:28">
      <c r="A337" s="5">
        <v>10336</v>
      </c>
      <c r="B337" s="5">
        <v>1962</v>
      </c>
      <c r="C337" s="6">
        <v>45072</v>
      </c>
      <c r="D337" s="6">
        <v>45072</v>
      </c>
      <c r="E337" s="5" t="s">
        <v>82</v>
      </c>
      <c r="F337" s="5" t="s">
        <v>107</v>
      </c>
      <c r="G337" s="5" t="s">
        <v>90</v>
      </c>
      <c r="H337" s="5" t="s">
        <v>108</v>
      </c>
      <c r="I337" s="5" t="s">
        <v>85</v>
      </c>
      <c r="J337" s="5" t="s">
        <v>141</v>
      </c>
      <c r="K337" s="5" t="s">
        <v>99</v>
      </c>
      <c r="L337" s="5">
        <v>1</v>
      </c>
      <c r="M337" s="5">
        <v>1126.5</v>
      </c>
      <c r="N337" s="5">
        <v>15</v>
      </c>
      <c r="O337" s="5">
        <v>957.52</v>
      </c>
      <c r="P337">
        <f t="shared" si="65"/>
        <v>1126.5</v>
      </c>
      <c r="Q337">
        <f t="shared" si="66"/>
        <v>168.975</v>
      </c>
      <c r="R337">
        <f t="shared" si="67"/>
        <v>957.525</v>
      </c>
      <c r="S337" t="str">
        <f t="shared" si="68"/>
        <v>Low</v>
      </c>
      <c r="T337" t="str">
        <f t="shared" si="69"/>
        <v>Low</v>
      </c>
      <c r="U337" t="str">
        <f t="shared" si="70"/>
        <v>Heavy Discount</v>
      </c>
      <c r="V337" t="str">
        <f t="shared" si="71"/>
        <v>Average</v>
      </c>
      <c r="W337">
        <f t="shared" si="72"/>
        <v>99</v>
      </c>
      <c r="X337">
        <f t="shared" si="73"/>
        <v>106</v>
      </c>
      <c r="Y337">
        <f t="shared" si="74"/>
        <v>21</v>
      </c>
      <c r="Z337" t="str">
        <f t="shared" si="75"/>
        <v>Not Eligible</v>
      </c>
      <c r="AA337" t="str">
        <f t="shared" si="76"/>
        <v>Normal Order</v>
      </c>
      <c r="AB337" t="str">
        <f t="shared" si="77"/>
        <v>Online</v>
      </c>
    </row>
    <row r="338" spans="1:28">
      <c r="A338" s="5">
        <v>10337</v>
      </c>
      <c r="B338" s="5">
        <v>1510</v>
      </c>
      <c r="C338" s="6">
        <v>45162</v>
      </c>
      <c r="D338" s="6">
        <v>45162</v>
      </c>
      <c r="E338" s="5" t="s">
        <v>112</v>
      </c>
      <c r="F338" s="5" t="s">
        <v>104</v>
      </c>
      <c r="G338" s="5" t="s">
        <v>83</v>
      </c>
      <c r="H338" s="5" t="s">
        <v>91</v>
      </c>
      <c r="I338" s="5" t="s">
        <v>132</v>
      </c>
      <c r="J338" s="5" t="s">
        <v>137</v>
      </c>
      <c r="K338" s="5" t="s">
        <v>99</v>
      </c>
      <c r="L338" s="5">
        <v>8</v>
      </c>
      <c r="M338" s="5">
        <v>3061.89</v>
      </c>
      <c r="N338" s="5">
        <v>5</v>
      </c>
      <c r="O338" s="5">
        <v>23270.36</v>
      </c>
      <c r="P338">
        <f t="shared" si="65"/>
        <v>24495.12</v>
      </c>
      <c r="Q338">
        <f t="shared" si="66"/>
        <v>1224.756</v>
      </c>
      <c r="R338">
        <f t="shared" si="67"/>
        <v>23270.364</v>
      </c>
      <c r="S338" t="str">
        <f t="shared" si="68"/>
        <v>High</v>
      </c>
      <c r="T338" t="str">
        <f t="shared" si="69"/>
        <v>High</v>
      </c>
      <c r="U338" t="str">
        <f t="shared" si="70"/>
        <v>Heavy Discount</v>
      </c>
      <c r="V338" t="str">
        <f t="shared" si="71"/>
        <v>Excellent Sales</v>
      </c>
      <c r="W338">
        <f t="shared" si="72"/>
        <v>99</v>
      </c>
      <c r="X338">
        <f t="shared" si="73"/>
        <v>106</v>
      </c>
      <c r="Y338">
        <f t="shared" si="74"/>
        <v>21</v>
      </c>
      <c r="Z338" t="str">
        <f t="shared" si="75"/>
        <v>Not Eligible</v>
      </c>
      <c r="AA338" t="str">
        <f t="shared" si="76"/>
        <v>Prriority Order</v>
      </c>
      <c r="AB338" t="str">
        <f t="shared" si="77"/>
        <v>Online</v>
      </c>
    </row>
    <row r="339" spans="1:28">
      <c r="A339" s="5">
        <v>10338</v>
      </c>
      <c r="B339" s="5">
        <v>1146</v>
      </c>
      <c r="C339" s="6">
        <v>45145</v>
      </c>
      <c r="D339" s="6">
        <v>45145</v>
      </c>
      <c r="E339" s="5" t="s">
        <v>88</v>
      </c>
      <c r="F339" s="5" t="s">
        <v>95</v>
      </c>
      <c r="G339" s="5" t="s">
        <v>96</v>
      </c>
      <c r="H339" s="5" t="s">
        <v>108</v>
      </c>
      <c r="I339" s="5" t="s">
        <v>115</v>
      </c>
      <c r="J339" s="5" t="s">
        <v>116</v>
      </c>
      <c r="K339" s="5" t="s">
        <v>87</v>
      </c>
      <c r="L339" s="5">
        <v>3</v>
      </c>
      <c r="M339" s="5">
        <v>464.42</v>
      </c>
      <c r="N339" s="5">
        <v>20</v>
      </c>
      <c r="O339" s="5">
        <v>1114.61</v>
      </c>
      <c r="P339">
        <f t="shared" si="65"/>
        <v>1393.26</v>
      </c>
      <c r="Q339">
        <f t="shared" si="66"/>
        <v>278.652</v>
      </c>
      <c r="R339">
        <f t="shared" si="67"/>
        <v>1114.608</v>
      </c>
      <c r="S339" t="str">
        <f t="shared" si="68"/>
        <v>Low</v>
      </c>
      <c r="T339" t="str">
        <f t="shared" si="69"/>
        <v>Low</v>
      </c>
      <c r="U339" t="str">
        <f t="shared" si="70"/>
        <v>Heavy Discount</v>
      </c>
      <c r="V339" t="str">
        <f t="shared" si="71"/>
        <v>Average</v>
      </c>
      <c r="W339">
        <f t="shared" si="72"/>
        <v>99</v>
      </c>
      <c r="X339">
        <f t="shared" si="73"/>
        <v>106</v>
      </c>
      <c r="Y339">
        <f t="shared" si="74"/>
        <v>21</v>
      </c>
      <c r="Z339" t="str">
        <f t="shared" si="75"/>
        <v>Not Eligible</v>
      </c>
      <c r="AA339" t="str">
        <f t="shared" si="76"/>
        <v>Normal Order</v>
      </c>
      <c r="AB339" t="str">
        <f t="shared" si="77"/>
        <v/>
      </c>
    </row>
    <row r="340" spans="1:28">
      <c r="A340" s="5">
        <v>10339</v>
      </c>
      <c r="B340" s="5">
        <v>1147</v>
      </c>
      <c r="C340" s="6">
        <v>45012</v>
      </c>
      <c r="D340" s="6">
        <v>45012</v>
      </c>
      <c r="E340" s="5" t="s">
        <v>81</v>
      </c>
      <c r="F340" s="5" t="s">
        <v>127</v>
      </c>
      <c r="G340" s="5" t="s">
        <v>83</v>
      </c>
      <c r="H340" s="5" t="s">
        <v>91</v>
      </c>
      <c r="I340" s="5" t="s">
        <v>97</v>
      </c>
      <c r="J340" s="5" t="s">
        <v>98</v>
      </c>
      <c r="K340" s="5" t="s">
        <v>87</v>
      </c>
      <c r="L340" s="5">
        <v>4</v>
      </c>
      <c r="M340" s="5">
        <v>3708.51</v>
      </c>
      <c r="N340" s="5">
        <v>5</v>
      </c>
      <c r="O340" s="5">
        <v>14092.34</v>
      </c>
      <c r="P340">
        <f t="shared" si="65"/>
        <v>14834.04</v>
      </c>
      <c r="Q340">
        <f t="shared" si="66"/>
        <v>741.702</v>
      </c>
      <c r="R340">
        <f t="shared" si="67"/>
        <v>14092.338</v>
      </c>
      <c r="S340" t="str">
        <f t="shared" si="68"/>
        <v>Low</v>
      </c>
      <c r="T340" t="str">
        <f t="shared" si="69"/>
        <v>Low</v>
      </c>
      <c r="U340" t="str">
        <f t="shared" si="70"/>
        <v>Heavy Discount</v>
      </c>
      <c r="V340" t="str">
        <f t="shared" si="71"/>
        <v>Excellent Sales</v>
      </c>
      <c r="W340">
        <f t="shared" si="72"/>
        <v>99</v>
      </c>
      <c r="X340">
        <f t="shared" si="73"/>
        <v>106</v>
      </c>
      <c r="Y340">
        <f t="shared" si="74"/>
        <v>21</v>
      </c>
      <c r="Z340" t="str">
        <f t="shared" si="75"/>
        <v>Not Eligible</v>
      </c>
      <c r="AA340" t="str">
        <f t="shared" si="76"/>
        <v>Prriority Order</v>
      </c>
      <c r="AB340" t="str">
        <f t="shared" si="77"/>
        <v>Online</v>
      </c>
    </row>
    <row r="341" spans="1:28">
      <c r="A341" s="5">
        <v>10340</v>
      </c>
      <c r="B341" s="5">
        <v>1863</v>
      </c>
      <c r="C341" s="6">
        <v>45144</v>
      </c>
      <c r="D341" s="6">
        <v>45144</v>
      </c>
      <c r="E341" s="5" t="s">
        <v>103</v>
      </c>
      <c r="F341" s="5" t="s">
        <v>95</v>
      </c>
      <c r="G341" s="5" t="s">
        <v>96</v>
      </c>
      <c r="H341" s="5" t="s">
        <v>108</v>
      </c>
      <c r="I341" s="5" t="s">
        <v>115</v>
      </c>
      <c r="J341" s="5" t="s">
        <v>116</v>
      </c>
      <c r="K341" s="5" t="s">
        <v>111</v>
      </c>
      <c r="L341" s="5">
        <v>9</v>
      </c>
      <c r="M341" s="5">
        <v>1404.42</v>
      </c>
      <c r="N341" s="5">
        <v>20</v>
      </c>
      <c r="O341" s="5">
        <v>10111.82</v>
      </c>
      <c r="P341">
        <f t="shared" si="65"/>
        <v>12639.78</v>
      </c>
      <c r="Q341">
        <f t="shared" si="66"/>
        <v>2527.956</v>
      </c>
      <c r="R341">
        <f t="shared" si="67"/>
        <v>10111.824</v>
      </c>
      <c r="S341" t="str">
        <f t="shared" si="68"/>
        <v>High</v>
      </c>
      <c r="T341" t="str">
        <f t="shared" si="69"/>
        <v>High</v>
      </c>
      <c r="U341" t="str">
        <f t="shared" si="70"/>
        <v>Heavy Discount</v>
      </c>
      <c r="V341" t="str">
        <f t="shared" si="71"/>
        <v>Excellent Sales</v>
      </c>
      <c r="W341">
        <f t="shared" si="72"/>
        <v>99</v>
      </c>
      <c r="X341">
        <f t="shared" si="73"/>
        <v>106</v>
      </c>
      <c r="Y341">
        <f t="shared" si="74"/>
        <v>21</v>
      </c>
      <c r="Z341" t="str">
        <f t="shared" si="75"/>
        <v>Not Eligible</v>
      </c>
      <c r="AA341" t="str">
        <f t="shared" si="76"/>
        <v>Prriority Order</v>
      </c>
      <c r="AB341" t="str">
        <f t="shared" si="77"/>
        <v/>
      </c>
    </row>
    <row r="342" spans="1:28">
      <c r="A342" s="5">
        <v>10341</v>
      </c>
      <c r="B342" s="5">
        <v>1710</v>
      </c>
      <c r="C342" s="6">
        <v>45048</v>
      </c>
      <c r="D342" s="6">
        <v>45048</v>
      </c>
      <c r="E342" s="5" t="s">
        <v>82</v>
      </c>
      <c r="F342" s="5" t="s">
        <v>95</v>
      </c>
      <c r="G342" s="5" t="s">
        <v>83</v>
      </c>
      <c r="H342" s="5" t="s">
        <v>101</v>
      </c>
      <c r="I342" s="5" t="s">
        <v>115</v>
      </c>
      <c r="J342" s="5" t="s">
        <v>119</v>
      </c>
      <c r="K342" s="5" t="s">
        <v>94</v>
      </c>
      <c r="L342" s="5">
        <v>4</v>
      </c>
      <c r="M342" s="5">
        <v>641.93</v>
      </c>
      <c r="N342" s="5">
        <v>0</v>
      </c>
      <c r="O342" s="5">
        <v>2567.72</v>
      </c>
      <c r="P342">
        <f t="shared" si="65"/>
        <v>2567.72</v>
      </c>
      <c r="Q342">
        <f t="shared" si="66"/>
        <v>0</v>
      </c>
      <c r="R342">
        <f t="shared" si="67"/>
        <v>2567.72</v>
      </c>
      <c r="S342" t="str">
        <f t="shared" si="68"/>
        <v>Low</v>
      </c>
      <c r="T342" t="str">
        <f t="shared" si="69"/>
        <v>Low</v>
      </c>
      <c r="U342" t="str">
        <f t="shared" si="70"/>
        <v>Normal Discount</v>
      </c>
      <c r="V342" t="str">
        <f t="shared" si="71"/>
        <v>Average</v>
      </c>
      <c r="W342">
        <f t="shared" si="72"/>
        <v>99</v>
      </c>
      <c r="X342">
        <f t="shared" si="73"/>
        <v>106</v>
      </c>
      <c r="Y342">
        <f t="shared" si="74"/>
        <v>21</v>
      </c>
      <c r="Z342" t="str">
        <f t="shared" si="75"/>
        <v>Eligible</v>
      </c>
      <c r="AA342" t="str">
        <f t="shared" si="76"/>
        <v>Normal Order</v>
      </c>
      <c r="AB342" t="str">
        <f t="shared" si="77"/>
        <v>Online</v>
      </c>
    </row>
    <row r="343" spans="1:28">
      <c r="A343" s="5">
        <v>10342</v>
      </c>
      <c r="B343" s="5">
        <v>1819</v>
      </c>
      <c r="C343" s="6">
        <v>45019</v>
      </c>
      <c r="D343" s="6">
        <v>45019</v>
      </c>
      <c r="E343" s="5" t="s">
        <v>81</v>
      </c>
      <c r="F343" s="5" t="s">
        <v>127</v>
      </c>
      <c r="G343" s="5" t="s">
        <v>83</v>
      </c>
      <c r="H343" s="5" t="s">
        <v>101</v>
      </c>
      <c r="I343" s="5" t="s">
        <v>92</v>
      </c>
      <c r="J343" s="5" t="s">
        <v>93</v>
      </c>
      <c r="K343" s="5" t="s">
        <v>113</v>
      </c>
      <c r="L343" s="5">
        <v>5</v>
      </c>
      <c r="M343" s="5">
        <v>1853.11</v>
      </c>
      <c r="N343" s="5">
        <v>10</v>
      </c>
      <c r="O343" s="5">
        <v>8338.99</v>
      </c>
      <c r="P343">
        <f t="shared" si="65"/>
        <v>9265.55</v>
      </c>
      <c r="Q343">
        <f t="shared" si="66"/>
        <v>926.555</v>
      </c>
      <c r="R343">
        <f t="shared" si="67"/>
        <v>8338.995</v>
      </c>
      <c r="S343" t="str">
        <f t="shared" si="68"/>
        <v>High</v>
      </c>
      <c r="T343" t="str">
        <f t="shared" si="69"/>
        <v>Medium</v>
      </c>
      <c r="U343" t="str">
        <f t="shared" si="70"/>
        <v>Heavy Discount</v>
      </c>
      <c r="V343" t="str">
        <f t="shared" si="71"/>
        <v>Excellent Sales</v>
      </c>
      <c r="W343">
        <f t="shared" si="72"/>
        <v>99</v>
      </c>
      <c r="X343">
        <f t="shared" si="73"/>
        <v>106</v>
      </c>
      <c r="Y343">
        <f t="shared" si="74"/>
        <v>20</v>
      </c>
      <c r="Z343" t="str">
        <f t="shared" si="75"/>
        <v>Not Eligible</v>
      </c>
      <c r="AA343" t="str">
        <f t="shared" si="76"/>
        <v>Prriority Order</v>
      </c>
      <c r="AB343" t="str">
        <f t="shared" si="77"/>
        <v>Online</v>
      </c>
    </row>
    <row r="344" spans="1:28">
      <c r="A344" s="5">
        <v>10343</v>
      </c>
      <c r="B344" s="5">
        <v>1488</v>
      </c>
      <c r="C344" s="6">
        <v>45204</v>
      </c>
      <c r="D344" s="6">
        <v>45204</v>
      </c>
      <c r="E344" s="5" t="s">
        <v>112</v>
      </c>
      <c r="F344" s="5" t="s">
        <v>89</v>
      </c>
      <c r="G344" s="5" t="s">
        <v>83</v>
      </c>
      <c r="H344" s="5" t="s">
        <v>84</v>
      </c>
      <c r="I344" s="5" t="s">
        <v>115</v>
      </c>
      <c r="J344" s="5" t="s">
        <v>119</v>
      </c>
      <c r="K344" s="5" t="s">
        <v>87</v>
      </c>
      <c r="L344" s="5">
        <v>7</v>
      </c>
      <c r="M344" s="5">
        <v>313.51</v>
      </c>
      <c r="N344" s="5">
        <v>0</v>
      </c>
      <c r="O344" s="5">
        <v>2194.57</v>
      </c>
      <c r="P344">
        <f t="shared" si="65"/>
        <v>2194.57</v>
      </c>
      <c r="Q344">
        <f t="shared" si="66"/>
        <v>0</v>
      </c>
      <c r="R344">
        <f t="shared" si="67"/>
        <v>2194.57</v>
      </c>
      <c r="S344" t="str">
        <f t="shared" si="68"/>
        <v>High</v>
      </c>
      <c r="T344" t="str">
        <f t="shared" si="69"/>
        <v>High</v>
      </c>
      <c r="U344" t="str">
        <f t="shared" si="70"/>
        <v>Normal Discount</v>
      </c>
      <c r="V344" t="str">
        <f t="shared" si="71"/>
        <v>Average</v>
      </c>
      <c r="W344">
        <f t="shared" si="72"/>
        <v>99</v>
      </c>
      <c r="X344">
        <f t="shared" si="73"/>
        <v>106</v>
      </c>
      <c r="Y344">
        <f t="shared" si="74"/>
        <v>20</v>
      </c>
      <c r="Z344" t="str">
        <f t="shared" si="75"/>
        <v>Eligible</v>
      </c>
      <c r="AA344" t="str">
        <f t="shared" si="76"/>
        <v>Prriority Order</v>
      </c>
      <c r="AB344" t="str">
        <f t="shared" si="77"/>
        <v>Online</v>
      </c>
    </row>
    <row r="345" spans="1:28">
      <c r="A345" s="5">
        <v>10344</v>
      </c>
      <c r="B345" s="5">
        <v>1928</v>
      </c>
      <c r="C345" s="6">
        <v>45101</v>
      </c>
      <c r="D345" s="6">
        <v>45101</v>
      </c>
      <c r="E345" s="5" t="s">
        <v>88</v>
      </c>
      <c r="F345" s="5" t="s">
        <v>95</v>
      </c>
      <c r="G345" s="5" t="s">
        <v>96</v>
      </c>
      <c r="H345" s="5" t="s">
        <v>110</v>
      </c>
      <c r="I345" s="5" t="s">
        <v>123</v>
      </c>
      <c r="J345" s="5" t="s">
        <v>131</v>
      </c>
      <c r="K345" s="5" t="s">
        <v>99</v>
      </c>
      <c r="L345" s="5">
        <v>4</v>
      </c>
      <c r="M345" s="5">
        <v>2785.81</v>
      </c>
      <c r="N345" s="5">
        <v>20</v>
      </c>
      <c r="O345" s="5">
        <v>8914.59</v>
      </c>
      <c r="P345">
        <f t="shared" si="65"/>
        <v>11143.24</v>
      </c>
      <c r="Q345">
        <f t="shared" si="66"/>
        <v>2228.648</v>
      </c>
      <c r="R345">
        <f t="shared" si="67"/>
        <v>8914.592</v>
      </c>
      <c r="S345" t="str">
        <f t="shared" si="68"/>
        <v>Low</v>
      </c>
      <c r="T345" t="str">
        <f t="shared" si="69"/>
        <v>Low</v>
      </c>
      <c r="U345" t="str">
        <f t="shared" si="70"/>
        <v>Heavy Discount</v>
      </c>
      <c r="V345" t="str">
        <f t="shared" si="71"/>
        <v>Excellent Sales</v>
      </c>
      <c r="W345">
        <f t="shared" si="72"/>
        <v>99</v>
      </c>
      <c r="X345">
        <f t="shared" si="73"/>
        <v>106</v>
      </c>
      <c r="Y345">
        <f t="shared" si="74"/>
        <v>19</v>
      </c>
      <c r="Z345" t="str">
        <f t="shared" si="75"/>
        <v>Not Eligible</v>
      </c>
      <c r="AA345" t="str">
        <f t="shared" si="76"/>
        <v>Prriority Order</v>
      </c>
      <c r="AB345" t="str">
        <f t="shared" si="77"/>
        <v/>
      </c>
    </row>
    <row r="346" spans="1:28">
      <c r="A346" s="5">
        <v>10345</v>
      </c>
      <c r="B346" s="5">
        <v>1935</v>
      </c>
      <c r="C346" s="6">
        <v>44993</v>
      </c>
      <c r="D346" s="6">
        <v>44993</v>
      </c>
      <c r="E346" s="5" t="s">
        <v>100</v>
      </c>
      <c r="F346" s="5" t="s">
        <v>95</v>
      </c>
      <c r="G346" s="5" t="s">
        <v>96</v>
      </c>
      <c r="H346" s="5" t="s">
        <v>108</v>
      </c>
      <c r="I346" s="5" t="s">
        <v>92</v>
      </c>
      <c r="J346" s="5" t="s">
        <v>102</v>
      </c>
      <c r="K346" s="5" t="s">
        <v>111</v>
      </c>
      <c r="L346" s="5">
        <v>1</v>
      </c>
      <c r="M346" s="5">
        <v>3625.42</v>
      </c>
      <c r="N346" s="5">
        <v>10</v>
      </c>
      <c r="O346" s="5">
        <v>3262.88</v>
      </c>
      <c r="P346">
        <f t="shared" si="65"/>
        <v>3625.42</v>
      </c>
      <c r="Q346">
        <f t="shared" si="66"/>
        <v>362.542</v>
      </c>
      <c r="R346">
        <f t="shared" si="67"/>
        <v>3262.878</v>
      </c>
      <c r="S346" t="str">
        <f t="shared" si="68"/>
        <v>Low</v>
      </c>
      <c r="T346" t="str">
        <f t="shared" si="69"/>
        <v>Low</v>
      </c>
      <c r="U346" t="str">
        <f t="shared" si="70"/>
        <v>Heavy Discount</v>
      </c>
      <c r="V346" t="str">
        <f t="shared" si="71"/>
        <v>Average</v>
      </c>
      <c r="W346">
        <f t="shared" si="72"/>
        <v>99</v>
      </c>
      <c r="X346">
        <f t="shared" si="73"/>
        <v>106</v>
      </c>
      <c r="Y346">
        <f t="shared" si="74"/>
        <v>19</v>
      </c>
      <c r="Z346" t="str">
        <f t="shared" si="75"/>
        <v>Not Eligible</v>
      </c>
      <c r="AA346" t="str">
        <f t="shared" si="76"/>
        <v>Normal Order</v>
      </c>
      <c r="AB346" t="str">
        <f t="shared" si="77"/>
        <v/>
      </c>
    </row>
    <row r="347" spans="1:28">
      <c r="A347" s="5">
        <v>10346</v>
      </c>
      <c r="B347" s="5">
        <v>1639</v>
      </c>
      <c r="C347" s="6">
        <v>45213</v>
      </c>
      <c r="D347" s="6">
        <v>45213</v>
      </c>
      <c r="E347" s="5" t="s">
        <v>106</v>
      </c>
      <c r="F347" s="5" t="s">
        <v>89</v>
      </c>
      <c r="G347" s="5" t="s">
        <v>83</v>
      </c>
      <c r="H347" s="5" t="s">
        <v>84</v>
      </c>
      <c r="I347" s="5" t="s">
        <v>92</v>
      </c>
      <c r="J347" s="5" t="s">
        <v>102</v>
      </c>
      <c r="K347" s="5" t="s">
        <v>113</v>
      </c>
      <c r="L347" s="5">
        <v>9</v>
      </c>
      <c r="M347" s="5">
        <v>3373.46</v>
      </c>
      <c r="N347" s="5">
        <v>10</v>
      </c>
      <c r="O347" s="5">
        <v>27325.03</v>
      </c>
      <c r="P347">
        <f t="shared" si="65"/>
        <v>30361.14</v>
      </c>
      <c r="Q347">
        <f t="shared" si="66"/>
        <v>3036.114</v>
      </c>
      <c r="R347">
        <f t="shared" si="67"/>
        <v>27325.026</v>
      </c>
      <c r="S347" t="str">
        <f t="shared" si="68"/>
        <v>High</v>
      </c>
      <c r="T347" t="str">
        <f t="shared" si="69"/>
        <v>High</v>
      </c>
      <c r="U347" t="str">
        <f t="shared" si="70"/>
        <v>Heavy Discount</v>
      </c>
      <c r="V347" t="str">
        <f t="shared" si="71"/>
        <v>Excellent Sales</v>
      </c>
      <c r="W347">
        <f t="shared" si="72"/>
        <v>99</v>
      </c>
      <c r="X347">
        <f t="shared" si="73"/>
        <v>106</v>
      </c>
      <c r="Y347">
        <f t="shared" si="74"/>
        <v>19</v>
      </c>
      <c r="Z347" t="str">
        <f t="shared" si="75"/>
        <v>Not Eligible</v>
      </c>
      <c r="AA347" t="str">
        <f t="shared" si="76"/>
        <v>Prriority Order</v>
      </c>
      <c r="AB347" t="str">
        <f t="shared" si="77"/>
        <v>Online</v>
      </c>
    </row>
    <row r="348" spans="1:28">
      <c r="A348" s="5">
        <v>10347</v>
      </c>
      <c r="B348" s="5">
        <v>1550</v>
      </c>
      <c r="C348" s="6">
        <v>44954</v>
      </c>
      <c r="D348" s="6">
        <v>44954</v>
      </c>
      <c r="E348" s="5" t="s">
        <v>81</v>
      </c>
      <c r="F348" s="5" t="s">
        <v>95</v>
      </c>
      <c r="G348" s="5" t="s">
        <v>90</v>
      </c>
      <c r="H348" s="5" t="s">
        <v>110</v>
      </c>
      <c r="I348" s="5" t="s">
        <v>85</v>
      </c>
      <c r="J348" s="5" t="s">
        <v>86</v>
      </c>
      <c r="K348" s="5" t="s">
        <v>111</v>
      </c>
      <c r="L348" s="5">
        <v>4</v>
      </c>
      <c r="M348" s="5">
        <v>640.37</v>
      </c>
      <c r="N348" s="5">
        <v>20</v>
      </c>
      <c r="O348" s="5">
        <v>2049.18</v>
      </c>
      <c r="P348">
        <f t="shared" si="65"/>
        <v>2561.48</v>
      </c>
      <c r="Q348">
        <f t="shared" si="66"/>
        <v>512.296</v>
      </c>
      <c r="R348">
        <f t="shared" si="67"/>
        <v>2049.184</v>
      </c>
      <c r="S348" t="str">
        <f t="shared" si="68"/>
        <v>Low</v>
      </c>
      <c r="T348" t="str">
        <f t="shared" si="69"/>
        <v>Low</v>
      </c>
      <c r="U348" t="str">
        <f t="shared" si="70"/>
        <v>Heavy Discount</v>
      </c>
      <c r="V348" t="str">
        <f t="shared" si="71"/>
        <v>Average</v>
      </c>
      <c r="W348">
        <f t="shared" si="72"/>
        <v>99</v>
      </c>
      <c r="X348">
        <f t="shared" si="73"/>
        <v>106</v>
      </c>
      <c r="Y348">
        <f t="shared" si="74"/>
        <v>19</v>
      </c>
      <c r="Z348" t="str">
        <f t="shared" si="75"/>
        <v>Not Eligible</v>
      </c>
      <c r="AA348" t="str">
        <f t="shared" si="76"/>
        <v>Normal Order</v>
      </c>
      <c r="AB348" t="str">
        <f t="shared" si="77"/>
        <v>Online</v>
      </c>
    </row>
    <row r="349" spans="1:28">
      <c r="A349" s="5">
        <v>10348</v>
      </c>
      <c r="B349" s="5">
        <v>1337</v>
      </c>
      <c r="C349" s="6">
        <v>44993</v>
      </c>
      <c r="D349" s="6">
        <v>44993</v>
      </c>
      <c r="E349" s="5" t="s">
        <v>81</v>
      </c>
      <c r="F349" s="5" t="s">
        <v>95</v>
      </c>
      <c r="G349" s="5" t="s">
        <v>83</v>
      </c>
      <c r="H349" s="5" t="s">
        <v>108</v>
      </c>
      <c r="I349" s="5" t="s">
        <v>115</v>
      </c>
      <c r="J349" s="5" t="s">
        <v>143</v>
      </c>
      <c r="K349" s="5" t="s">
        <v>113</v>
      </c>
      <c r="L349" s="5">
        <v>9</v>
      </c>
      <c r="M349" s="5">
        <v>636.14</v>
      </c>
      <c r="N349" s="5">
        <v>20</v>
      </c>
      <c r="O349" s="5">
        <v>4580.21</v>
      </c>
      <c r="P349">
        <f t="shared" si="65"/>
        <v>5725.26</v>
      </c>
      <c r="Q349">
        <f t="shared" si="66"/>
        <v>1145.052</v>
      </c>
      <c r="R349">
        <f t="shared" si="67"/>
        <v>4580.208</v>
      </c>
      <c r="S349" t="str">
        <f t="shared" si="68"/>
        <v>High</v>
      </c>
      <c r="T349" t="str">
        <f t="shared" si="69"/>
        <v>High</v>
      </c>
      <c r="U349" t="str">
        <f t="shared" si="70"/>
        <v>Heavy Discount</v>
      </c>
      <c r="V349" t="str">
        <f t="shared" si="71"/>
        <v>Good</v>
      </c>
      <c r="W349">
        <f t="shared" si="72"/>
        <v>99</v>
      </c>
      <c r="X349">
        <f t="shared" si="73"/>
        <v>106</v>
      </c>
      <c r="Y349">
        <f t="shared" si="74"/>
        <v>19</v>
      </c>
      <c r="Z349" t="str">
        <f t="shared" si="75"/>
        <v>Not Eligible</v>
      </c>
      <c r="AA349" t="str">
        <f t="shared" si="76"/>
        <v>Prriority Order</v>
      </c>
      <c r="AB349" t="str">
        <f t="shared" si="77"/>
        <v>Online</v>
      </c>
    </row>
    <row r="350" spans="1:28">
      <c r="A350" s="5">
        <v>10349</v>
      </c>
      <c r="B350" s="5">
        <v>1871</v>
      </c>
      <c r="C350" s="6">
        <v>45177</v>
      </c>
      <c r="D350" s="6">
        <v>45177</v>
      </c>
      <c r="E350" s="5" t="s">
        <v>100</v>
      </c>
      <c r="F350" s="5" t="s">
        <v>95</v>
      </c>
      <c r="G350" s="5" t="s">
        <v>96</v>
      </c>
      <c r="H350" s="5" t="s">
        <v>91</v>
      </c>
      <c r="I350" s="5" t="s">
        <v>85</v>
      </c>
      <c r="J350" s="5" t="s">
        <v>129</v>
      </c>
      <c r="K350" s="5" t="s">
        <v>113</v>
      </c>
      <c r="L350" s="5">
        <v>6</v>
      </c>
      <c r="M350" s="5">
        <v>3281.72</v>
      </c>
      <c r="N350" s="5">
        <v>5</v>
      </c>
      <c r="O350" s="5">
        <v>18705.8</v>
      </c>
      <c r="P350">
        <f t="shared" si="65"/>
        <v>19690.32</v>
      </c>
      <c r="Q350">
        <f t="shared" si="66"/>
        <v>984.516</v>
      </c>
      <c r="R350">
        <f t="shared" si="67"/>
        <v>18705.804</v>
      </c>
      <c r="S350" t="str">
        <f t="shared" si="68"/>
        <v>High</v>
      </c>
      <c r="T350" t="str">
        <f t="shared" si="69"/>
        <v>High</v>
      </c>
      <c r="U350" t="str">
        <f t="shared" si="70"/>
        <v>Heavy Discount</v>
      </c>
      <c r="V350" t="str">
        <f t="shared" si="71"/>
        <v>Excellent Sales</v>
      </c>
      <c r="W350">
        <f t="shared" si="72"/>
        <v>99</v>
      </c>
      <c r="X350">
        <f t="shared" si="73"/>
        <v>106</v>
      </c>
      <c r="Y350">
        <f t="shared" si="74"/>
        <v>18</v>
      </c>
      <c r="Z350" t="str">
        <f t="shared" si="75"/>
        <v>Not Eligible</v>
      </c>
      <c r="AA350" t="str">
        <f t="shared" si="76"/>
        <v>Prriority Order</v>
      </c>
      <c r="AB350" t="str">
        <f t="shared" si="77"/>
        <v/>
      </c>
    </row>
    <row r="351" spans="1:28">
      <c r="A351" s="5">
        <v>10350</v>
      </c>
      <c r="B351" s="5">
        <v>1640</v>
      </c>
      <c r="C351" s="6">
        <v>45185</v>
      </c>
      <c r="D351" s="6">
        <v>45185</v>
      </c>
      <c r="E351" s="5" t="s">
        <v>81</v>
      </c>
      <c r="F351" s="5" t="s">
        <v>107</v>
      </c>
      <c r="G351" s="5" t="s">
        <v>83</v>
      </c>
      <c r="H351" s="5" t="s">
        <v>110</v>
      </c>
      <c r="I351" s="5" t="s">
        <v>132</v>
      </c>
      <c r="J351" s="5" t="s">
        <v>137</v>
      </c>
      <c r="K351" s="5" t="s">
        <v>87</v>
      </c>
      <c r="L351" s="5">
        <v>1</v>
      </c>
      <c r="M351" s="5">
        <v>3708.38</v>
      </c>
      <c r="N351" s="5">
        <v>20</v>
      </c>
      <c r="O351" s="5">
        <v>2966.7</v>
      </c>
      <c r="P351">
        <f t="shared" si="65"/>
        <v>3708.38</v>
      </c>
      <c r="Q351">
        <f t="shared" si="66"/>
        <v>741.676</v>
      </c>
      <c r="R351">
        <f t="shared" si="67"/>
        <v>2966.704</v>
      </c>
      <c r="S351" t="str">
        <f t="shared" si="68"/>
        <v>Low</v>
      </c>
      <c r="T351" t="str">
        <f t="shared" si="69"/>
        <v>Low</v>
      </c>
      <c r="U351" t="str">
        <f t="shared" si="70"/>
        <v>Heavy Discount</v>
      </c>
      <c r="V351" t="str">
        <f t="shared" si="71"/>
        <v>Average</v>
      </c>
      <c r="W351">
        <f t="shared" si="72"/>
        <v>99</v>
      </c>
      <c r="X351">
        <f t="shared" si="73"/>
        <v>106</v>
      </c>
      <c r="Y351">
        <f t="shared" si="74"/>
        <v>18</v>
      </c>
      <c r="Z351" t="str">
        <f t="shared" si="75"/>
        <v>Not Eligible</v>
      </c>
      <c r="AA351" t="str">
        <f t="shared" si="76"/>
        <v>Normal Order</v>
      </c>
      <c r="AB351" t="str">
        <f t="shared" si="77"/>
        <v>Online</v>
      </c>
    </row>
    <row r="352" spans="1:28">
      <c r="A352" s="5">
        <v>10351</v>
      </c>
      <c r="B352" s="5">
        <v>1778</v>
      </c>
      <c r="C352" s="6">
        <v>44972</v>
      </c>
      <c r="D352" s="6">
        <v>44972</v>
      </c>
      <c r="E352" s="5" t="s">
        <v>112</v>
      </c>
      <c r="F352" s="5" t="s">
        <v>82</v>
      </c>
      <c r="G352" s="5" t="s">
        <v>96</v>
      </c>
      <c r="H352" s="5" t="s">
        <v>101</v>
      </c>
      <c r="I352" s="5" t="s">
        <v>97</v>
      </c>
      <c r="J352" s="5" t="s">
        <v>98</v>
      </c>
      <c r="K352" s="5" t="s">
        <v>111</v>
      </c>
      <c r="L352" s="5">
        <v>3</v>
      </c>
      <c r="M352" s="5">
        <v>1923.58</v>
      </c>
      <c r="N352" s="5">
        <v>15</v>
      </c>
      <c r="O352" s="5">
        <v>4905.13</v>
      </c>
      <c r="P352">
        <f t="shared" si="65"/>
        <v>5770.74</v>
      </c>
      <c r="Q352">
        <f t="shared" si="66"/>
        <v>865.611</v>
      </c>
      <c r="R352">
        <f t="shared" si="67"/>
        <v>4905.129</v>
      </c>
      <c r="S352" t="str">
        <f t="shared" si="68"/>
        <v>Low</v>
      </c>
      <c r="T352" t="str">
        <f t="shared" si="69"/>
        <v>Low</v>
      </c>
      <c r="U352" t="str">
        <f t="shared" si="70"/>
        <v>Heavy Discount</v>
      </c>
      <c r="V352" t="str">
        <f t="shared" si="71"/>
        <v>Good</v>
      </c>
      <c r="W352">
        <f t="shared" si="72"/>
        <v>99</v>
      </c>
      <c r="X352">
        <f t="shared" si="73"/>
        <v>106</v>
      </c>
      <c r="Y352">
        <f t="shared" si="74"/>
        <v>18</v>
      </c>
      <c r="Z352" t="str">
        <f t="shared" si="75"/>
        <v>Not Eligible</v>
      </c>
      <c r="AA352" t="str">
        <f t="shared" si="76"/>
        <v>Normal Order</v>
      </c>
      <c r="AB352" t="str">
        <f t="shared" si="77"/>
        <v/>
      </c>
    </row>
    <row r="353" spans="1:28">
      <c r="A353" s="5">
        <v>10352</v>
      </c>
      <c r="B353" s="5">
        <v>1987</v>
      </c>
      <c r="C353" s="6">
        <v>45026</v>
      </c>
      <c r="D353" s="6">
        <v>45026</v>
      </c>
      <c r="E353" s="5" t="s">
        <v>112</v>
      </c>
      <c r="F353" s="5" t="s">
        <v>89</v>
      </c>
      <c r="G353" s="5" t="s">
        <v>96</v>
      </c>
      <c r="H353" s="5" t="s">
        <v>84</v>
      </c>
      <c r="I353" s="5" t="s">
        <v>92</v>
      </c>
      <c r="J353" s="5" t="s">
        <v>102</v>
      </c>
      <c r="K353" s="5" t="s">
        <v>111</v>
      </c>
      <c r="L353" s="5">
        <v>2</v>
      </c>
      <c r="M353" s="5">
        <v>2071.04</v>
      </c>
      <c r="N353" s="5">
        <v>20</v>
      </c>
      <c r="O353" s="5">
        <v>3313.66</v>
      </c>
      <c r="P353">
        <f t="shared" si="65"/>
        <v>4142.08</v>
      </c>
      <c r="Q353">
        <f t="shared" si="66"/>
        <v>828.416</v>
      </c>
      <c r="R353">
        <f t="shared" si="67"/>
        <v>3313.664</v>
      </c>
      <c r="S353" t="str">
        <f t="shared" si="68"/>
        <v>Low</v>
      </c>
      <c r="T353" t="str">
        <f t="shared" si="69"/>
        <v>Low</v>
      </c>
      <c r="U353" t="str">
        <f t="shared" si="70"/>
        <v>Heavy Discount</v>
      </c>
      <c r="V353" t="str">
        <f t="shared" si="71"/>
        <v>Average</v>
      </c>
      <c r="W353">
        <f t="shared" si="72"/>
        <v>99</v>
      </c>
      <c r="X353">
        <f t="shared" si="73"/>
        <v>106</v>
      </c>
      <c r="Y353">
        <f t="shared" si="74"/>
        <v>18</v>
      </c>
      <c r="Z353" t="str">
        <f t="shared" si="75"/>
        <v>Not Eligible</v>
      </c>
      <c r="AA353" t="str">
        <f t="shared" si="76"/>
        <v>Normal Order</v>
      </c>
      <c r="AB353" t="str">
        <f t="shared" si="77"/>
        <v/>
      </c>
    </row>
    <row r="354" spans="1:28">
      <c r="A354" s="5">
        <v>10353</v>
      </c>
      <c r="B354" s="5">
        <v>1952</v>
      </c>
      <c r="C354" s="6">
        <v>44972</v>
      </c>
      <c r="D354" s="6">
        <v>44972</v>
      </c>
      <c r="E354" s="5" t="s">
        <v>100</v>
      </c>
      <c r="F354" s="5" t="s">
        <v>95</v>
      </c>
      <c r="G354" s="5" t="s">
        <v>96</v>
      </c>
      <c r="H354" s="5" t="s">
        <v>110</v>
      </c>
      <c r="I354" s="5" t="s">
        <v>132</v>
      </c>
      <c r="J354" s="5" t="s">
        <v>142</v>
      </c>
      <c r="K354" s="5" t="s">
        <v>99</v>
      </c>
      <c r="L354" s="5">
        <v>9</v>
      </c>
      <c r="M354" s="5">
        <v>1375.31</v>
      </c>
      <c r="N354" s="5">
        <v>15</v>
      </c>
      <c r="O354" s="5">
        <v>10521.12</v>
      </c>
      <c r="P354">
        <f t="shared" si="65"/>
        <v>12377.79</v>
      </c>
      <c r="Q354">
        <f t="shared" si="66"/>
        <v>1856.6685</v>
      </c>
      <c r="R354">
        <f t="shared" si="67"/>
        <v>10521.1215</v>
      </c>
      <c r="S354" t="str">
        <f t="shared" si="68"/>
        <v>High</v>
      </c>
      <c r="T354" t="str">
        <f t="shared" si="69"/>
        <v>High</v>
      </c>
      <c r="U354" t="str">
        <f t="shared" si="70"/>
        <v>Heavy Discount</v>
      </c>
      <c r="V354" t="str">
        <f t="shared" si="71"/>
        <v>Excellent Sales</v>
      </c>
      <c r="W354">
        <f t="shared" si="72"/>
        <v>99</v>
      </c>
      <c r="X354">
        <f t="shared" si="73"/>
        <v>106</v>
      </c>
      <c r="Y354">
        <f t="shared" si="74"/>
        <v>18</v>
      </c>
      <c r="Z354" t="str">
        <f t="shared" si="75"/>
        <v>Not Eligible</v>
      </c>
      <c r="AA354" t="str">
        <f t="shared" si="76"/>
        <v>Prriority Order</v>
      </c>
      <c r="AB354" t="str">
        <f t="shared" si="77"/>
        <v/>
      </c>
    </row>
    <row r="355" spans="1:28">
      <c r="A355" s="5">
        <v>10354</v>
      </c>
      <c r="B355" s="5">
        <v>1472</v>
      </c>
      <c r="C355" s="6">
        <v>45160</v>
      </c>
      <c r="D355" s="6">
        <v>45160</v>
      </c>
      <c r="E355" s="5" t="s">
        <v>106</v>
      </c>
      <c r="F355" s="5" t="s">
        <v>107</v>
      </c>
      <c r="G355" s="5" t="s">
        <v>83</v>
      </c>
      <c r="H355" s="5" t="s">
        <v>110</v>
      </c>
      <c r="I355" s="5" t="s">
        <v>132</v>
      </c>
      <c r="J355" s="5" t="s">
        <v>133</v>
      </c>
      <c r="K355" s="5" t="s">
        <v>99</v>
      </c>
      <c r="L355" s="5">
        <v>1</v>
      </c>
      <c r="M355" s="5">
        <v>3592.92</v>
      </c>
      <c r="N355" s="5">
        <v>20</v>
      </c>
      <c r="O355" s="5">
        <v>2874.34</v>
      </c>
      <c r="P355">
        <f t="shared" si="65"/>
        <v>3592.92</v>
      </c>
      <c r="Q355">
        <f t="shared" si="66"/>
        <v>718.584</v>
      </c>
      <c r="R355">
        <f t="shared" si="67"/>
        <v>2874.336</v>
      </c>
      <c r="S355" t="str">
        <f t="shared" si="68"/>
        <v>Low</v>
      </c>
      <c r="T355" t="str">
        <f t="shared" si="69"/>
        <v>Low</v>
      </c>
      <c r="U355" t="str">
        <f t="shared" si="70"/>
        <v>Heavy Discount</v>
      </c>
      <c r="V355" t="str">
        <f t="shared" si="71"/>
        <v>Average</v>
      </c>
      <c r="W355">
        <f t="shared" si="72"/>
        <v>99</v>
      </c>
      <c r="X355">
        <f t="shared" si="73"/>
        <v>106</v>
      </c>
      <c r="Y355">
        <f t="shared" si="74"/>
        <v>18</v>
      </c>
      <c r="Z355" t="str">
        <f t="shared" si="75"/>
        <v>Not Eligible</v>
      </c>
      <c r="AA355" t="str">
        <f t="shared" si="76"/>
        <v>Normal Order</v>
      </c>
      <c r="AB355" t="str">
        <f t="shared" si="77"/>
        <v>Online</v>
      </c>
    </row>
    <row r="356" spans="1:28">
      <c r="A356" s="5">
        <v>10355</v>
      </c>
      <c r="B356" s="5">
        <v>1945</v>
      </c>
      <c r="C356" s="6">
        <v>45191</v>
      </c>
      <c r="D356" s="6">
        <v>45191</v>
      </c>
      <c r="E356" s="5" t="s">
        <v>103</v>
      </c>
      <c r="F356" s="5" t="s">
        <v>89</v>
      </c>
      <c r="G356" s="5" t="s">
        <v>96</v>
      </c>
      <c r="H356" s="5" t="s">
        <v>101</v>
      </c>
      <c r="I356" s="5" t="s">
        <v>123</v>
      </c>
      <c r="J356" s="5" t="s">
        <v>124</v>
      </c>
      <c r="K356" s="5" t="s">
        <v>87</v>
      </c>
      <c r="L356" s="5">
        <v>9</v>
      </c>
      <c r="M356" s="5">
        <v>2632.88</v>
      </c>
      <c r="N356" s="5">
        <v>5</v>
      </c>
      <c r="O356" s="5">
        <v>22511.12</v>
      </c>
      <c r="P356">
        <f t="shared" si="65"/>
        <v>23695.92</v>
      </c>
      <c r="Q356">
        <f t="shared" si="66"/>
        <v>1184.796</v>
      </c>
      <c r="R356">
        <f t="shared" si="67"/>
        <v>22511.124</v>
      </c>
      <c r="S356" t="str">
        <f t="shared" si="68"/>
        <v>High</v>
      </c>
      <c r="T356" t="str">
        <f t="shared" si="69"/>
        <v>High</v>
      </c>
      <c r="U356" t="str">
        <f t="shared" si="70"/>
        <v>Heavy Discount</v>
      </c>
      <c r="V356" t="str">
        <f t="shared" si="71"/>
        <v>Excellent Sales</v>
      </c>
      <c r="W356">
        <f t="shared" si="72"/>
        <v>99</v>
      </c>
      <c r="X356">
        <f t="shared" si="73"/>
        <v>106</v>
      </c>
      <c r="Y356">
        <f t="shared" si="74"/>
        <v>18</v>
      </c>
      <c r="Z356" t="str">
        <f t="shared" si="75"/>
        <v>Not Eligible</v>
      </c>
      <c r="AA356" t="str">
        <f t="shared" si="76"/>
        <v>Prriority Order</v>
      </c>
      <c r="AB356" t="str">
        <f t="shared" si="77"/>
        <v/>
      </c>
    </row>
    <row r="357" spans="1:28">
      <c r="A357" s="5">
        <v>10356</v>
      </c>
      <c r="B357" s="5">
        <v>1150</v>
      </c>
      <c r="C357" s="6">
        <v>45102</v>
      </c>
      <c r="D357" s="6">
        <v>45102</v>
      </c>
      <c r="E357" s="5" t="s">
        <v>82</v>
      </c>
      <c r="F357" s="5" t="s">
        <v>104</v>
      </c>
      <c r="G357" s="5" t="s">
        <v>96</v>
      </c>
      <c r="H357" s="5" t="s">
        <v>108</v>
      </c>
      <c r="I357" s="5" t="s">
        <v>97</v>
      </c>
      <c r="J357" s="5" t="s">
        <v>114</v>
      </c>
      <c r="K357" s="5" t="s">
        <v>87</v>
      </c>
      <c r="L357" s="5">
        <v>9</v>
      </c>
      <c r="M357" s="5">
        <v>1259.77</v>
      </c>
      <c r="N357" s="5">
        <v>15</v>
      </c>
      <c r="O357" s="5">
        <v>9637.24</v>
      </c>
      <c r="P357">
        <f t="shared" si="65"/>
        <v>11337.93</v>
      </c>
      <c r="Q357">
        <f t="shared" si="66"/>
        <v>1700.6895</v>
      </c>
      <c r="R357">
        <f t="shared" si="67"/>
        <v>9637.2405</v>
      </c>
      <c r="S357" t="str">
        <f t="shared" si="68"/>
        <v>High</v>
      </c>
      <c r="T357" t="str">
        <f t="shared" si="69"/>
        <v>High</v>
      </c>
      <c r="U357" t="str">
        <f t="shared" si="70"/>
        <v>Heavy Discount</v>
      </c>
      <c r="V357" t="str">
        <f t="shared" si="71"/>
        <v>Excellent Sales</v>
      </c>
      <c r="W357">
        <f t="shared" si="72"/>
        <v>99</v>
      </c>
      <c r="X357">
        <f t="shared" si="73"/>
        <v>106</v>
      </c>
      <c r="Y357">
        <f t="shared" si="74"/>
        <v>18</v>
      </c>
      <c r="Z357" t="str">
        <f t="shared" si="75"/>
        <v>Not Eligible</v>
      </c>
      <c r="AA357" t="str">
        <f t="shared" si="76"/>
        <v>Prriority Order</v>
      </c>
      <c r="AB357" t="str">
        <f t="shared" si="77"/>
        <v/>
      </c>
    </row>
    <row r="358" spans="1:28">
      <c r="A358" s="5">
        <v>10357</v>
      </c>
      <c r="B358" s="5">
        <v>1414</v>
      </c>
      <c r="C358" s="6">
        <v>45213</v>
      </c>
      <c r="D358" s="6">
        <v>45213</v>
      </c>
      <c r="E358" s="5" t="s">
        <v>103</v>
      </c>
      <c r="F358" s="5" t="s">
        <v>104</v>
      </c>
      <c r="G358" s="5" t="s">
        <v>83</v>
      </c>
      <c r="H358" s="5" t="s">
        <v>91</v>
      </c>
      <c r="I358" s="5" t="s">
        <v>132</v>
      </c>
      <c r="J358" s="5" t="s">
        <v>133</v>
      </c>
      <c r="K358" s="5" t="s">
        <v>94</v>
      </c>
      <c r="L358" s="5">
        <v>8</v>
      </c>
      <c r="M358" s="5">
        <v>1300.31</v>
      </c>
      <c r="N358" s="5">
        <v>0</v>
      </c>
      <c r="O358" s="5">
        <v>10402.48</v>
      </c>
      <c r="P358">
        <f t="shared" si="65"/>
        <v>10402.48</v>
      </c>
      <c r="Q358">
        <f t="shared" si="66"/>
        <v>0</v>
      </c>
      <c r="R358">
        <f t="shared" si="67"/>
        <v>10402.48</v>
      </c>
      <c r="S358" t="str">
        <f t="shared" si="68"/>
        <v>High</v>
      </c>
      <c r="T358" t="str">
        <f t="shared" si="69"/>
        <v>High</v>
      </c>
      <c r="U358" t="str">
        <f t="shared" si="70"/>
        <v>Normal Discount</v>
      </c>
      <c r="V358" t="str">
        <f t="shared" si="71"/>
        <v>Excellent Sales</v>
      </c>
      <c r="W358">
        <f t="shared" si="72"/>
        <v>99</v>
      </c>
      <c r="X358">
        <f t="shared" si="73"/>
        <v>106</v>
      </c>
      <c r="Y358">
        <f t="shared" si="74"/>
        <v>18</v>
      </c>
      <c r="Z358" t="str">
        <f t="shared" si="75"/>
        <v>Eligible</v>
      </c>
      <c r="AA358" t="str">
        <f t="shared" si="76"/>
        <v>Prriority Order</v>
      </c>
      <c r="AB358" t="str">
        <f t="shared" si="77"/>
        <v>Online</v>
      </c>
    </row>
    <row r="359" spans="1:28">
      <c r="A359" s="5">
        <v>10358</v>
      </c>
      <c r="B359" s="5">
        <v>1989</v>
      </c>
      <c r="C359" s="6">
        <v>45019</v>
      </c>
      <c r="D359" s="6">
        <v>45019</v>
      </c>
      <c r="E359" s="5" t="s">
        <v>81</v>
      </c>
      <c r="F359" s="5" t="s">
        <v>95</v>
      </c>
      <c r="G359" s="5" t="s">
        <v>96</v>
      </c>
      <c r="H359" s="5" t="s">
        <v>101</v>
      </c>
      <c r="I359" s="5" t="s">
        <v>132</v>
      </c>
      <c r="J359" s="5" t="s">
        <v>133</v>
      </c>
      <c r="K359" s="5" t="s">
        <v>99</v>
      </c>
      <c r="L359" s="5">
        <v>8</v>
      </c>
      <c r="M359" s="5">
        <v>3581.12</v>
      </c>
      <c r="N359" s="5">
        <v>15</v>
      </c>
      <c r="O359" s="5">
        <v>24351.62</v>
      </c>
      <c r="P359">
        <f t="shared" si="65"/>
        <v>28648.96</v>
      </c>
      <c r="Q359">
        <f t="shared" si="66"/>
        <v>4297.344</v>
      </c>
      <c r="R359">
        <f t="shared" si="67"/>
        <v>24351.616</v>
      </c>
      <c r="S359" t="str">
        <f t="shared" si="68"/>
        <v>High</v>
      </c>
      <c r="T359" t="str">
        <f t="shared" si="69"/>
        <v>High</v>
      </c>
      <c r="U359" t="str">
        <f t="shared" si="70"/>
        <v>Heavy Discount</v>
      </c>
      <c r="V359" t="str">
        <f t="shared" si="71"/>
        <v>Excellent Sales</v>
      </c>
      <c r="W359">
        <f t="shared" si="72"/>
        <v>99</v>
      </c>
      <c r="X359">
        <f t="shared" si="73"/>
        <v>106</v>
      </c>
      <c r="Y359">
        <f t="shared" si="74"/>
        <v>18</v>
      </c>
      <c r="Z359" t="str">
        <f t="shared" si="75"/>
        <v>Not Eligible</v>
      </c>
      <c r="AA359" t="str">
        <f t="shared" si="76"/>
        <v>Prriority Order</v>
      </c>
      <c r="AB359" t="str">
        <f t="shared" si="77"/>
        <v/>
      </c>
    </row>
    <row r="360" spans="1:28">
      <c r="A360" s="5">
        <v>10359</v>
      </c>
      <c r="B360" s="5">
        <v>1297</v>
      </c>
      <c r="C360" s="6">
        <v>45105</v>
      </c>
      <c r="D360" s="6">
        <v>45105</v>
      </c>
      <c r="E360" s="5" t="s">
        <v>82</v>
      </c>
      <c r="F360" s="5" t="s">
        <v>107</v>
      </c>
      <c r="G360" s="5" t="s">
        <v>83</v>
      </c>
      <c r="H360" s="5" t="s">
        <v>91</v>
      </c>
      <c r="I360" s="5" t="s">
        <v>97</v>
      </c>
      <c r="J360" s="5" t="s">
        <v>114</v>
      </c>
      <c r="K360" s="5" t="s">
        <v>113</v>
      </c>
      <c r="L360" s="5">
        <v>1</v>
      </c>
      <c r="M360" s="5">
        <v>202.49</v>
      </c>
      <c r="N360" s="5">
        <v>5</v>
      </c>
      <c r="O360" s="5">
        <v>192.37</v>
      </c>
      <c r="P360">
        <f t="shared" si="65"/>
        <v>202.49</v>
      </c>
      <c r="Q360">
        <f t="shared" si="66"/>
        <v>10.1245</v>
      </c>
      <c r="R360">
        <f t="shared" si="67"/>
        <v>192.3655</v>
      </c>
      <c r="S360" t="str">
        <f t="shared" si="68"/>
        <v>Low</v>
      </c>
      <c r="T360" t="str">
        <f t="shared" si="69"/>
        <v>Low</v>
      </c>
      <c r="U360" t="str">
        <f t="shared" si="70"/>
        <v>Heavy Discount</v>
      </c>
      <c r="V360" t="str">
        <f t="shared" si="71"/>
        <v>Average</v>
      </c>
      <c r="W360">
        <f t="shared" si="72"/>
        <v>99</v>
      </c>
      <c r="X360">
        <f t="shared" si="73"/>
        <v>106</v>
      </c>
      <c r="Y360">
        <f t="shared" si="74"/>
        <v>18</v>
      </c>
      <c r="Z360" t="str">
        <f t="shared" si="75"/>
        <v>Not Eligible</v>
      </c>
      <c r="AA360" t="str">
        <f t="shared" si="76"/>
        <v>Normal Order</v>
      </c>
      <c r="AB360" t="str">
        <f t="shared" si="77"/>
        <v>Online</v>
      </c>
    </row>
    <row r="361" spans="1:28">
      <c r="A361" s="5">
        <v>10360</v>
      </c>
      <c r="B361" s="5">
        <v>1610</v>
      </c>
      <c r="C361" s="6">
        <v>45124</v>
      </c>
      <c r="D361" s="6">
        <v>45124</v>
      </c>
      <c r="E361" s="5" t="s">
        <v>100</v>
      </c>
      <c r="F361" s="5" t="s">
        <v>107</v>
      </c>
      <c r="G361" s="5" t="s">
        <v>96</v>
      </c>
      <c r="H361" s="5" t="s">
        <v>108</v>
      </c>
      <c r="I361" s="5" t="s">
        <v>97</v>
      </c>
      <c r="J361" s="5" t="s">
        <v>98</v>
      </c>
      <c r="K361" s="5" t="s">
        <v>111</v>
      </c>
      <c r="L361" s="5">
        <v>8</v>
      </c>
      <c r="M361" s="5">
        <v>1392.5</v>
      </c>
      <c r="N361" s="5">
        <v>15</v>
      </c>
      <c r="O361" s="5">
        <v>9469</v>
      </c>
      <c r="P361">
        <f t="shared" si="65"/>
        <v>11140</v>
      </c>
      <c r="Q361">
        <f t="shared" si="66"/>
        <v>1671</v>
      </c>
      <c r="R361">
        <f t="shared" si="67"/>
        <v>9469</v>
      </c>
      <c r="S361" t="str">
        <f t="shared" si="68"/>
        <v>High</v>
      </c>
      <c r="T361" t="str">
        <f t="shared" si="69"/>
        <v>High</v>
      </c>
      <c r="U361" t="str">
        <f t="shared" si="70"/>
        <v>Heavy Discount</v>
      </c>
      <c r="V361" t="str">
        <f t="shared" si="71"/>
        <v>Excellent Sales</v>
      </c>
      <c r="W361">
        <f t="shared" si="72"/>
        <v>99</v>
      </c>
      <c r="X361">
        <f t="shared" si="73"/>
        <v>106</v>
      </c>
      <c r="Y361">
        <f t="shared" si="74"/>
        <v>18</v>
      </c>
      <c r="Z361" t="str">
        <f t="shared" si="75"/>
        <v>Not Eligible</v>
      </c>
      <c r="AA361" t="str">
        <f t="shared" si="76"/>
        <v>Prriority Order</v>
      </c>
      <c r="AB361" t="str">
        <f t="shared" si="77"/>
        <v/>
      </c>
    </row>
    <row r="362" spans="1:28">
      <c r="A362" s="5">
        <v>10361</v>
      </c>
      <c r="B362" s="5">
        <v>1262</v>
      </c>
      <c r="C362" s="6">
        <v>45234</v>
      </c>
      <c r="D362" s="6">
        <v>45234</v>
      </c>
      <c r="E362" s="5" t="s">
        <v>100</v>
      </c>
      <c r="F362" s="5" t="s">
        <v>89</v>
      </c>
      <c r="G362" s="5" t="s">
        <v>90</v>
      </c>
      <c r="H362" s="5" t="s">
        <v>110</v>
      </c>
      <c r="I362" s="5" t="s">
        <v>132</v>
      </c>
      <c r="J362" s="5" t="s">
        <v>134</v>
      </c>
      <c r="K362" s="5" t="s">
        <v>87</v>
      </c>
      <c r="L362" s="5">
        <v>3</v>
      </c>
      <c r="M362" s="5">
        <v>2284.27</v>
      </c>
      <c r="N362" s="5">
        <v>20</v>
      </c>
      <c r="O362" s="5">
        <v>5482.25</v>
      </c>
      <c r="P362">
        <f t="shared" si="65"/>
        <v>6852.81</v>
      </c>
      <c r="Q362">
        <f t="shared" si="66"/>
        <v>1370.562</v>
      </c>
      <c r="R362">
        <f t="shared" si="67"/>
        <v>5482.248</v>
      </c>
      <c r="S362" t="str">
        <f t="shared" si="68"/>
        <v>Low</v>
      </c>
      <c r="T362" t="str">
        <f t="shared" si="69"/>
        <v>Low</v>
      </c>
      <c r="U362" t="str">
        <f t="shared" si="70"/>
        <v>Heavy Discount</v>
      </c>
      <c r="V362" t="str">
        <f t="shared" si="71"/>
        <v>Good</v>
      </c>
      <c r="W362">
        <f t="shared" si="72"/>
        <v>99</v>
      </c>
      <c r="X362">
        <f t="shared" si="73"/>
        <v>106</v>
      </c>
      <c r="Y362">
        <f t="shared" si="74"/>
        <v>18</v>
      </c>
      <c r="Z362" t="str">
        <f t="shared" si="75"/>
        <v>Not Eligible</v>
      </c>
      <c r="AA362" t="str">
        <f t="shared" si="76"/>
        <v>Normal Order</v>
      </c>
      <c r="AB362" t="str">
        <f t="shared" si="77"/>
        <v>Online</v>
      </c>
    </row>
    <row r="363" spans="1:28">
      <c r="A363" s="5">
        <v>10362</v>
      </c>
      <c r="B363" s="5">
        <v>1763</v>
      </c>
      <c r="C363" s="6">
        <v>45194</v>
      </c>
      <c r="D363" s="6">
        <v>45194</v>
      </c>
      <c r="E363" s="5" t="s">
        <v>106</v>
      </c>
      <c r="F363" s="5" t="s">
        <v>89</v>
      </c>
      <c r="G363" s="5" t="s">
        <v>90</v>
      </c>
      <c r="H363" s="5" t="s">
        <v>91</v>
      </c>
      <c r="I363" s="5" t="s">
        <v>97</v>
      </c>
      <c r="J363" s="5" t="s">
        <v>114</v>
      </c>
      <c r="K363" s="5" t="s">
        <v>111</v>
      </c>
      <c r="L363" s="5">
        <v>7</v>
      </c>
      <c r="M363" s="5">
        <v>720.64</v>
      </c>
      <c r="N363" s="5">
        <v>20</v>
      </c>
      <c r="O363" s="5">
        <v>4035.58</v>
      </c>
      <c r="P363">
        <f t="shared" si="65"/>
        <v>5044.48</v>
      </c>
      <c r="Q363">
        <f t="shared" si="66"/>
        <v>1008.896</v>
      </c>
      <c r="R363">
        <f t="shared" si="67"/>
        <v>4035.584</v>
      </c>
      <c r="S363" t="str">
        <f t="shared" si="68"/>
        <v>High</v>
      </c>
      <c r="T363" t="str">
        <f t="shared" si="69"/>
        <v>High</v>
      </c>
      <c r="U363" t="str">
        <f t="shared" si="70"/>
        <v>Heavy Discount</v>
      </c>
      <c r="V363" t="str">
        <f t="shared" si="71"/>
        <v>Good</v>
      </c>
      <c r="W363">
        <f t="shared" si="72"/>
        <v>99</v>
      </c>
      <c r="X363">
        <f t="shared" si="73"/>
        <v>106</v>
      </c>
      <c r="Y363">
        <f t="shared" si="74"/>
        <v>18</v>
      </c>
      <c r="Z363" t="str">
        <f t="shared" si="75"/>
        <v>Not Eligible</v>
      </c>
      <c r="AA363" t="str">
        <f t="shared" si="76"/>
        <v>Prriority Order</v>
      </c>
      <c r="AB363" t="str">
        <f t="shared" si="77"/>
        <v>Online</v>
      </c>
    </row>
    <row r="364" spans="1:28">
      <c r="A364" s="5">
        <v>10363</v>
      </c>
      <c r="B364" s="5">
        <v>1143</v>
      </c>
      <c r="C364" s="6">
        <v>45202</v>
      </c>
      <c r="D364" s="6">
        <v>45202</v>
      </c>
      <c r="E364" s="5" t="s">
        <v>82</v>
      </c>
      <c r="F364" s="5" t="s">
        <v>107</v>
      </c>
      <c r="G364" s="5" t="s">
        <v>96</v>
      </c>
      <c r="H364" s="5" t="s">
        <v>84</v>
      </c>
      <c r="I364" s="5" t="s">
        <v>132</v>
      </c>
      <c r="J364" s="5" t="s">
        <v>137</v>
      </c>
      <c r="K364" s="5" t="s">
        <v>111</v>
      </c>
      <c r="L364" s="5">
        <v>1</v>
      </c>
      <c r="M364" s="5">
        <v>504.58</v>
      </c>
      <c r="N364" s="5">
        <v>5</v>
      </c>
      <c r="O364" s="5">
        <v>479.35</v>
      </c>
      <c r="P364">
        <f t="shared" si="65"/>
        <v>504.58</v>
      </c>
      <c r="Q364">
        <f t="shared" si="66"/>
        <v>25.229</v>
      </c>
      <c r="R364">
        <f t="shared" si="67"/>
        <v>479.351</v>
      </c>
      <c r="S364" t="str">
        <f t="shared" si="68"/>
        <v>Low</v>
      </c>
      <c r="T364" t="str">
        <f t="shared" si="69"/>
        <v>Low</v>
      </c>
      <c r="U364" t="str">
        <f t="shared" si="70"/>
        <v>Heavy Discount</v>
      </c>
      <c r="V364" t="str">
        <f t="shared" si="71"/>
        <v>Average</v>
      </c>
      <c r="W364">
        <f t="shared" si="72"/>
        <v>99</v>
      </c>
      <c r="X364">
        <f t="shared" si="73"/>
        <v>106</v>
      </c>
      <c r="Y364">
        <f t="shared" si="74"/>
        <v>18</v>
      </c>
      <c r="Z364" t="str">
        <f t="shared" si="75"/>
        <v>Not Eligible</v>
      </c>
      <c r="AA364" t="str">
        <f t="shared" si="76"/>
        <v>Normal Order</v>
      </c>
      <c r="AB364" t="str">
        <f t="shared" si="77"/>
        <v/>
      </c>
    </row>
    <row r="365" spans="1:28">
      <c r="A365" s="5">
        <v>10364</v>
      </c>
      <c r="B365" s="5">
        <v>1345</v>
      </c>
      <c r="C365" s="6">
        <v>45003</v>
      </c>
      <c r="D365" s="6">
        <v>45003</v>
      </c>
      <c r="E365" s="5" t="s">
        <v>112</v>
      </c>
      <c r="F365" s="5" t="s">
        <v>89</v>
      </c>
      <c r="G365" s="5" t="s">
        <v>90</v>
      </c>
      <c r="H365" s="5" t="s">
        <v>84</v>
      </c>
      <c r="I365" s="5" t="s">
        <v>132</v>
      </c>
      <c r="J365" s="5" t="s">
        <v>142</v>
      </c>
      <c r="K365" s="5" t="s">
        <v>94</v>
      </c>
      <c r="L365" s="5">
        <v>1</v>
      </c>
      <c r="M365" s="5">
        <v>3288.81</v>
      </c>
      <c r="N365" s="5">
        <v>10</v>
      </c>
      <c r="O365" s="5">
        <v>2959.93</v>
      </c>
      <c r="P365">
        <f t="shared" si="65"/>
        <v>3288.81</v>
      </c>
      <c r="Q365">
        <f t="shared" si="66"/>
        <v>328.881</v>
      </c>
      <c r="R365">
        <f t="shared" si="67"/>
        <v>2959.929</v>
      </c>
      <c r="S365" t="str">
        <f t="shared" si="68"/>
        <v>Low</v>
      </c>
      <c r="T365" t="str">
        <f t="shared" si="69"/>
        <v>Low</v>
      </c>
      <c r="U365" t="str">
        <f t="shared" si="70"/>
        <v>Heavy Discount</v>
      </c>
      <c r="V365" t="str">
        <f t="shared" si="71"/>
        <v>Average</v>
      </c>
      <c r="W365">
        <f t="shared" si="72"/>
        <v>99</v>
      </c>
      <c r="X365">
        <f t="shared" si="73"/>
        <v>106</v>
      </c>
      <c r="Y365">
        <f t="shared" si="74"/>
        <v>18</v>
      </c>
      <c r="Z365" t="str">
        <f t="shared" si="75"/>
        <v>Not Eligible</v>
      </c>
      <c r="AA365" t="str">
        <f t="shared" si="76"/>
        <v>Normal Order</v>
      </c>
      <c r="AB365" t="str">
        <f t="shared" si="77"/>
        <v>Online</v>
      </c>
    </row>
    <row r="366" spans="1:28">
      <c r="A366" s="5">
        <v>10365</v>
      </c>
      <c r="B366" s="5">
        <v>1623</v>
      </c>
      <c r="C366" s="6">
        <v>44940</v>
      </c>
      <c r="D366" s="6">
        <v>44940</v>
      </c>
      <c r="E366" s="5" t="s">
        <v>82</v>
      </c>
      <c r="F366" s="5" t="s">
        <v>107</v>
      </c>
      <c r="G366" s="5" t="s">
        <v>83</v>
      </c>
      <c r="H366" s="5" t="s">
        <v>101</v>
      </c>
      <c r="I366" s="5" t="s">
        <v>123</v>
      </c>
      <c r="J366" s="5" t="s">
        <v>124</v>
      </c>
      <c r="K366" s="5" t="s">
        <v>99</v>
      </c>
      <c r="L366" s="5">
        <v>5</v>
      </c>
      <c r="M366" s="5">
        <v>3593.46</v>
      </c>
      <c r="N366" s="5">
        <v>20</v>
      </c>
      <c r="O366" s="5">
        <v>14373.84</v>
      </c>
      <c r="P366">
        <f t="shared" si="65"/>
        <v>17967.3</v>
      </c>
      <c r="Q366">
        <f t="shared" si="66"/>
        <v>3593.46</v>
      </c>
      <c r="R366">
        <f t="shared" si="67"/>
        <v>14373.84</v>
      </c>
      <c r="S366" t="str">
        <f t="shared" si="68"/>
        <v>High</v>
      </c>
      <c r="T366" t="str">
        <f t="shared" si="69"/>
        <v>Medium</v>
      </c>
      <c r="U366" t="str">
        <f t="shared" si="70"/>
        <v>Heavy Discount</v>
      </c>
      <c r="V366" t="str">
        <f t="shared" si="71"/>
        <v>Excellent Sales</v>
      </c>
      <c r="W366">
        <f t="shared" si="72"/>
        <v>99</v>
      </c>
      <c r="X366">
        <f t="shared" si="73"/>
        <v>106</v>
      </c>
      <c r="Y366">
        <f t="shared" si="74"/>
        <v>18</v>
      </c>
      <c r="Z366" t="str">
        <f t="shared" si="75"/>
        <v>Not Eligible</v>
      </c>
      <c r="AA366" t="str">
        <f t="shared" si="76"/>
        <v>Prriority Order</v>
      </c>
      <c r="AB366" t="str">
        <f t="shared" si="77"/>
        <v>Online</v>
      </c>
    </row>
    <row r="367" spans="1:28">
      <c r="A367" s="5">
        <v>10366</v>
      </c>
      <c r="B367" s="5">
        <v>1571</v>
      </c>
      <c r="C367" s="6">
        <v>45226</v>
      </c>
      <c r="D367" s="6">
        <v>45226</v>
      </c>
      <c r="E367" s="5" t="s">
        <v>81</v>
      </c>
      <c r="F367" s="5" t="s">
        <v>82</v>
      </c>
      <c r="G367" s="5" t="s">
        <v>90</v>
      </c>
      <c r="H367" s="5" t="s">
        <v>108</v>
      </c>
      <c r="I367" s="5" t="s">
        <v>115</v>
      </c>
      <c r="J367" s="5" t="s">
        <v>138</v>
      </c>
      <c r="K367" s="5" t="s">
        <v>87</v>
      </c>
      <c r="L367" s="5">
        <v>5</v>
      </c>
      <c r="M367" s="5">
        <v>3320.88</v>
      </c>
      <c r="N367" s="5">
        <v>0</v>
      </c>
      <c r="O367" s="5">
        <v>16604.4</v>
      </c>
      <c r="P367">
        <f t="shared" si="65"/>
        <v>16604.4</v>
      </c>
      <c r="Q367">
        <f t="shared" si="66"/>
        <v>0</v>
      </c>
      <c r="R367">
        <f t="shared" si="67"/>
        <v>16604.4</v>
      </c>
      <c r="S367" t="str">
        <f t="shared" si="68"/>
        <v>High</v>
      </c>
      <c r="T367" t="str">
        <f t="shared" si="69"/>
        <v>Medium</v>
      </c>
      <c r="U367" t="str">
        <f t="shared" si="70"/>
        <v>Normal Discount</v>
      </c>
      <c r="V367" t="str">
        <f t="shared" si="71"/>
        <v>Excellent Sales</v>
      </c>
      <c r="W367">
        <f t="shared" si="72"/>
        <v>99</v>
      </c>
      <c r="X367">
        <f t="shared" si="73"/>
        <v>106</v>
      </c>
      <c r="Y367">
        <f t="shared" si="74"/>
        <v>18</v>
      </c>
      <c r="Z367" t="str">
        <f t="shared" si="75"/>
        <v>Eligible</v>
      </c>
      <c r="AA367" t="str">
        <f t="shared" si="76"/>
        <v>Prriority Order</v>
      </c>
      <c r="AB367" t="str">
        <f t="shared" si="77"/>
        <v>Online</v>
      </c>
    </row>
    <row r="368" spans="1:28">
      <c r="A368" s="5">
        <v>10367</v>
      </c>
      <c r="B368" s="5">
        <v>1880</v>
      </c>
      <c r="C368" s="6">
        <v>45095</v>
      </c>
      <c r="D368" s="6">
        <v>45095</v>
      </c>
      <c r="E368" s="5" t="s">
        <v>112</v>
      </c>
      <c r="F368" s="5" t="s">
        <v>107</v>
      </c>
      <c r="G368" s="5" t="s">
        <v>96</v>
      </c>
      <c r="H368" s="5" t="s">
        <v>101</v>
      </c>
      <c r="I368" s="5" t="s">
        <v>132</v>
      </c>
      <c r="J368" s="5" t="s">
        <v>137</v>
      </c>
      <c r="K368" s="5" t="s">
        <v>111</v>
      </c>
      <c r="L368" s="5">
        <v>8</v>
      </c>
      <c r="M368" s="5">
        <v>3610.33</v>
      </c>
      <c r="N368" s="5">
        <v>5</v>
      </c>
      <c r="O368" s="5">
        <v>27438.51</v>
      </c>
      <c r="P368">
        <f t="shared" si="65"/>
        <v>28882.64</v>
      </c>
      <c r="Q368">
        <f t="shared" si="66"/>
        <v>1444.132</v>
      </c>
      <c r="R368">
        <f t="shared" si="67"/>
        <v>27438.508</v>
      </c>
      <c r="S368" t="str">
        <f t="shared" si="68"/>
        <v>High</v>
      </c>
      <c r="T368" t="str">
        <f t="shared" si="69"/>
        <v>High</v>
      </c>
      <c r="U368" t="str">
        <f t="shared" si="70"/>
        <v>Heavy Discount</v>
      </c>
      <c r="V368" t="str">
        <f t="shared" si="71"/>
        <v>Excellent Sales</v>
      </c>
      <c r="W368">
        <f t="shared" si="72"/>
        <v>99</v>
      </c>
      <c r="X368">
        <f t="shared" si="73"/>
        <v>106</v>
      </c>
      <c r="Y368">
        <f t="shared" si="74"/>
        <v>17</v>
      </c>
      <c r="Z368" t="str">
        <f t="shared" si="75"/>
        <v>Not Eligible</v>
      </c>
      <c r="AA368" t="str">
        <f t="shared" si="76"/>
        <v>Prriority Order</v>
      </c>
      <c r="AB368" t="str">
        <f t="shared" si="77"/>
        <v/>
      </c>
    </row>
    <row r="369" spans="1:28">
      <c r="A369" s="5">
        <v>10368</v>
      </c>
      <c r="B369" s="5">
        <v>1001</v>
      </c>
      <c r="C369" s="6">
        <v>45018</v>
      </c>
      <c r="D369" s="6">
        <v>45018</v>
      </c>
      <c r="E369" s="5" t="s">
        <v>88</v>
      </c>
      <c r="F369" s="5" t="s">
        <v>104</v>
      </c>
      <c r="G369" s="5" t="s">
        <v>96</v>
      </c>
      <c r="H369" s="5" t="s">
        <v>101</v>
      </c>
      <c r="I369" s="5" t="s">
        <v>85</v>
      </c>
      <c r="J369" s="5" t="s">
        <v>86</v>
      </c>
      <c r="K369" s="5" t="s">
        <v>87</v>
      </c>
      <c r="L369" s="5">
        <v>7</v>
      </c>
      <c r="M369" s="5">
        <v>2279.48</v>
      </c>
      <c r="N369" s="5">
        <v>15</v>
      </c>
      <c r="O369" s="5">
        <v>13562.91</v>
      </c>
      <c r="P369">
        <f t="shared" si="65"/>
        <v>15956.36</v>
      </c>
      <c r="Q369">
        <f t="shared" si="66"/>
        <v>2393.454</v>
      </c>
      <c r="R369">
        <f t="shared" si="67"/>
        <v>13562.906</v>
      </c>
      <c r="S369" t="str">
        <f t="shared" si="68"/>
        <v>High</v>
      </c>
      <c r="T369" t="str">
        <f t="shared" si="69"/>
        <v>High</v>
      </c>
      <c r="U369" t="str">
        <f t="shared" si="70"/>
        <v>Heavy Discount</v>
      </c>
      <c r="V369" t="str">
        <f t="shared" si="71"/>
        <v>Excellent Sales</v>
      </c>
      <c r="W369">
        <f t="shared" si="72"/>
        <v>99</v>
      </c>
      <c r="X369">
        <f t="shared" si="73"/>
        <v>106</v>
      </c>
      <c r="Y369">
        <f t="shared" si="74"/>
        <v>17</v>
      </c>
      <c r="Z369" t="str">
        <f t="shared" si="75"/>
        <v>Not Eligible</v>
      </c>
      <c r="AA369" t="str">
        <f t="shared" si="76"/>
        <v>Prriority Order</v>
      </c>
      <c r="AB369" t="str">
        <f t="shared" si="77"/>
        <v/>
      </c>
    </row>
    <row r="370" spans="1:28">
      <c r="A370" s="5">
        <v>10369</v>
      </c>
      <c r="B370" s="5">
        <v>1896</v>
      </c>
      <c r="C370" s="6">
        <v>45000</v>
      </c>
      <c r="D370" s="6">
        <v>45000</v>
      </c>
      <c r="E370" s="5" t="s">
        <v>88</v>
      </c>
      <c r="F370" s="5" t="s">
        <v>89</v>
      </c>
      <c r="G370" s="5" t="s">
        <v>83</v>
      </c>
      <c r="H370" s="5" t="s">
        <v>101</v>
      </c>
      <c r="I370" s="5" t="s">
        <v>92</v>
      </c>
      <c r="J370" s="5" t="s">
        <v>102</v>
      </c>
      <c r="K370" s="5" t="s">
        <v>113</v>
      </c>
      <c r="L370" s="5">
        <v>8</v>
      </c>
      <c r="M370" s="5">
        <v>3277.19</v>
      </c>
      <c r="N370" s="5">
        <v>15</v>
      </c>
      <c r="O370" s="5">
        <v>22284.89</v>
      </c>
      <c r="P370">
        <f t="shared" si="65"/>
        <v>26217.52</v>
      </c>
      <c r="Q370">
        <f t="shared" si="66"/>
        <v>3932.628</v>
      </c>
      <c r="R370">
        <f t="shared" si="67"/>
        <v>22284.892</v>
      </c>
      <c r="S370" t="str">
        <f t="shared" si="68"/>
        <v>High</v>
      </c>
      <c r="T370" t="str">
        <f t="shared" si="69"/>
        <v>High</v>
      </c>
      <c r="U370" t="str">
        <f t="shared" si="70"/>
        <v>Heavy Discount</v>
      </c>
      <c r="V370" t="str">
        <f t="shared" si="71"/>
        <v>Excellent Sales</v>
      </c>
      <c r="W370">
        <f t="shared" si="72"/>
        <v>99</v>
      </c>
      <c r="X370">
        <f t="shared" si="73"/>
        <v>106</v>
      </c>
      <c r="Y370">
        <f t="shared" si="74"/>
        <v>17</v>
      </c>
      <c r="Z370" t="str">
        <f t="shared" si="75"/>
        <v>Not Eligible</v>
      </c>
      <c r="AA370" t="str">
        <f t="shared" si="76"/>
        <v>Prriority Order</v>
      </c>
      <c r="AB370" t="str">
        <f t="shared" si="77"/>
        <v>Online</v>
      </c>
    </row>
    <row r="371" spans="1:28">
      <c r="A371" s="5">
        <v>10370</v>
      </c>
      <c r="B371" s="5">
        <v>1303</v>
      </c>
      <c r="C371" s="6">
        <v>44987</v>
      </c>
      <c r="D371" s="6">
        <v>44987</v>
      </c>
      <c r="E371" s="5" t="s">
        <v>88</v>
      </c>
      <c r="F371" s="5" t="s">
        <v>107</v>
      </c>
      <c r="G371" s="5" t="s">
        <v>96</v>
      </c>
      <c r="H371" s="5" t="s">
        <v>84</v>
      </c>
      <c r="I371" s="5" t="s">
        <v>115</v>
      </c>
      <c r="J371" s="5" t="s">
        <v>138</v>
      </c>
      <c r="K371" s="5" t="s">
        <v>94</v>
      </c>
      <c r="L371" s="5">
        <v>6</v>
      </c>
      <c r="M371" s="5">
        <v>1628.56</v>
      </c>
      <c r="N371" s="5">
        <v>0</v>
      </c>
      <c r="O371" s="5">
        <v>9771.36</v>
      </c>
      <c r="P371">
        <f t="shared" si="65"/>
        <v>9771.36</v>
      </c>
      <c r="Q371">
        <f t="shared" si="66"/>
        <v>0</v>
      </c>
      <c r="R371">
        <f t="shared" si="67"/>
        <v>9771.36</v>
      </c>
      <c r="S371" t="str">
        <f t="shared" si="68"/>
        <v>High</v>
      </c>
      <c r="T371" t="str">
        <f t="shared" si="69"/>
        <v>High</v>
      </c>
      <c r="U371" t="str">
        <f t="shared" si="70"/>
        <v>Normal Discount</v>
      </c>
      <c r="V371" t="str">
        <f t="shared" si="71"/>
        <v>Excellent Sales</v>
      </c>
      <c r="W371">
        <f t="shared" si="72"/>
        <v>99</v>
      </c>
      <c r="X371">
        <f t="shared" si="73"/>
        <v>106</v>
      </c>
      <c r="Y371">
        <f t="shared" si="74"/>
        <v>17</v>
      </c>
      <c r="Z371" t="str">
        <f t="shared" si="75"/>
        <v>Eligible</v>
      </c>
      <c r="AA371" t="str">
        <f t="shared" si="76"/>
        <v>Prriority Order</v>
      </c>
      <c r="AB371" t="str">
        <f t="shared" si="77"/>
        <v/>
      </c>
    </row>
    <row r="372" spans="1:28">
      <c r="A372" s="5">
        <v>10371</v>
      </c>
      <c r="B372" s="5">
        <v>1253</v>
      </c>
      <c r="C372" s="6">
        <v>44979</v>
      </c>
      <c r="D372" s="6">
        <v>44979</v>
      </c>
      <c r="E372" s="5" t="s">
        <v>100</v>
      </c>
      <c r="F372" s="5" t="s">
        <v>107</v>
      </c>
      <c r="G372" s="5" t="s">
        <v>83</v>
      </c>
      <c r="H372" s="5" t="s">
        <v>84</v>
      </c>
      <c r="I372" s="5" t="s">
        <v>115</v>
      </c>
      <c r="J372" s="5" t="s">
        <v>143</v>
      </c>
      <c r="K372" s="5" t="s">
        <v>113</v>
      </c>
      <c r="L372" s="5">
        <v>6</v>
      </c>
      <c r="M372" s="5">
        <v>2715.13</v>
      </c>
      <c r="N372" s="5">
        <v>20</v>
      </c>
      <c r="O372" s="5">
        <v>13032.62</v>
      </c>
      <c r="P372">
        <f t="shared" si="65"/>
        <v>16290.78</v>
      </c>
      <c r="Q372">
        <f t="shared" si="66"/>
        <v>3258.156</v>
      </c>
      <c r="R372">
        <f t="shared" si="67"/>
        <v>13032.624</v>
      </c>
      <c r="S372" t="str">
        <f t="shared" si="68"/>
        <v>High</v>
      </c>
      <c r="T372" t="str">
        <f t="shared" si="69"/>
        <v>High</v>
      </c>
      <c r="U372" t="str">
        <f t="shared" si="70"/>
        <v>Heavy Discount</v>
      </c>
      <c r="V372" t="str">
        <f t="shared" si="71"/>
        <v>Excellent Sales</v>
      </c>
      <c r="W372">
        <f t="shared" si="72"/>
        <v>99</v>
      </c>
      <c r="X372">
        <f t="shared" si="73"/>
        <v>106</v>
      </c>
      <c r="Y372">
        <f t="shared" si="74"/>
        <v>17</v>
      </c>
      <c r="Z372" t="str">
        <f t="shared" si="75"/>
        <v>Not Eligible</v>
      </c>
      <c r="AA372" t="str">
        <f t="shared" si="76"/>
        <v>Prriority Order</v>
      </c>
      <c r="AB372" t="str">
        <f t="shared" si="77"/>
        <v>Online</v>
      </c>
    </row>
    <row r="373" spans="1:28">
      <c r="A373" s="5">
        <v>10372</v>
      </c>
      <c r="B373" s="5">
        <v>1651</v>
      </c>
      <c r="C373" s="6">
        <v>45167</v>
      </c>
      <c r="D373" s="6">
        <v>45167</v>
      </c>
      <c r="E373" s="5" t="s">
        <v>82</v>
      </c>
      <c r="F373" s="5" t="s">
        <v>89</v>
      </c>
      <c r="G373" s="5" t="s">
        <v>90</v>
      </c>
      <c r="H373" s="5" t="s">
        <v>101</v>
      </c>
      <c r="I373" s="5" t="s">
        <v>115</v>
      </c>
      <c r="J373" s="5" t="s">
        <v>138</v>
      </c>
      <c r="K373" s="5" t="s">
        <v>87</v>
      </c>
      <c r="L373" s="5">
        <v>2</v>
      </c>
      <c r="M373" s="5">
        <v>3957.02</v>
      </c>
      <c r="N373" s="5">
        <v>5</v>
      </c>
      <c r="O373" s="5">
        <v>7518.34</v>
      </c>
      <c r="P373">
        <f t="shared" si="65"/>
        <v>7914.04</v>
      </c>
      <c r="Q373">
        <f t="shared" si="66"/>
        <v>395.702</v>
      </c>
      <c r="R373">
        <f t="shared" si="67"/>
        <v>7518.338</v>
      </c>
      <c r="S373" t="str">
        <f t="shared" si="68"/>
        <v>Low</v>
      </c>
      <c r="T373" t="str">
        <f t="shared" si="69"/>
        <v>Low</v>
      </c>
      <c r="U373" t="str">
        <f t="shared" si="70"/>
        <v>Heavy Discount</v>
      </c>
      <c r="V373" t="str">
        <f t="shared" si="71"/>
        <v>Excellent Sales</v>
      </c>
      <c r="W373">
        <f t="shared" si="72"/>
        <v>99</v>
      </c>
      <c r="X373">
        <f t="shared" si="73"/>
        <v>106</v>
      </c>
      <c r="Y373">
        <f t="shared" si="74"/>
        <v>16</v>
      </c>
      <c r="Z373" t="str">
        <f t="shared" si="75"/>
        <v>Not Eligible</v>
      </c>
      <c r="AA373" t="str">
        <f t="shared" si="76"/>
        <v>Prriority Order</v>
      </c>
      <c r="AB373" t="str">
        <f t="shared" si="77"/>
        <v>Online</v>
      </c>
    </row>
    <row r="374" spans="1:28">
      <c r="A374" s="5">
        <v>10373</v>
      </c>
      <c r="B374" s="5">
        <v>1452</v>
      </c>
      <c r="C374" s="6">
        <v>45036</v>
      </c>
      <c r="D374" s="6">
        <v>45036</v>
      </c>
      <c r="E374" s="5" t="s">
        <v>88</v>
      </c>
      <c r="F374" s="5" t="s">
        <v>82</v>
      </c>
      <c r="G374" s="5" t="s">
        <v>90</v>
      </c>
      <c r="H374" s="5" t="s">
        <v>84</v>
      </c>
      <c r="I374" s="5" t="s">
        <v>123</v>
      </c>
      <c r="J374" s="5" t="s">
        <v>124</v>
      </c>
      <c r="K374" s="5" t="s">
        <v>87</v>
      </c>
      <c r="L374" s="5">
        <v>6</v>
      </c>
      <c r="M374" s="5">
        <v>1019.05</v>
      </c>
      <c r="N374" s="5">
        <v>0</v>
      </c>
      <c r="O374" s="5">
        <v>6114.3</v>
      </c>
      <c r="P374">
        <f t="shared" si="65"/>
        <v>6114.3</v>
      </c>
      <c r="Q374">
        <f t="shared" si="66"/>
        <v>0</v>
      </c>
      <c r="R374">
        <f t="shared" si="67"/>
        <v>6114.3</v>
      </c>
      <c r="S374" t="str">
        <f t="shared" si="68"/>
        <v>High</v>
      </c>
      <c r="T374" t="str">
        <f t="shared" si="69"/>
        <v>High</v>
      </c>
      <c r="U374" t="str">
        <f t="shared" si="70"/>
        <v>Normal Discount</v>
      </c>
      <c r="V374" t="str">
        <f t="shared" si="71"/>
        <v>Good</v>
      </c>
      <c r="W374">
        <f t="shared" si="72"/>
        <v>99</v>
      </c>
      <c r="X374">
        <f t="shared" si="73"/>
        <v>106</v>
      </c>
      <c r="Y374">
        <f t="shared" si="74"/>
        <v>15</v>
      </c>
      <c r="Z374" t="str">
        <f t="shared" si="75"/>
        <v>Eligible</v>
      </c>
      <c r="AA374" t="str">
        <f t="shared" si="76"/>
        <v>Prriority Order</v>
      </c>
      <c r="AB374" t="str">
        <f t="shared" si="77"/>
        <v>Online</v>
      </c>
    </row>
    <row r="375" spans="1:28">
      <c r="A375" s="5">
        <v>10374</v>
      </c>
      <c r="B375" s="5">
        <v>1036</v>
      </c>
      <c r="C375" s="6">
        <v>45141</v>
      </c>
      <c r="D375" s="6">
        <v>45141</v>
      </c>
      <c r="E375" s="5" t="s">
        <v>103</v>
      </c>
      <c r="F375" s="5" t="s">
        <v>82</v>
      </c>
      <c r="G375" s="5" t="s">
        <v>83</v>
      </c>
      <c r="H375" s="5" t="s">
        <v>108</v>
      </c>
      <c r="I375" s="5" t="s">
        <v>132</v>
      </c>
      <c r="J375" s="5" t="s">
        <v>133</v>
      </c>
      <c r="K375" s="5" t="s">
        <v>99</v>
      </c>
      <c r="L375" s="5">
        <v>5</v>
      </c>
      <c r="M375" s="5">
        <v>1651.11</v>
      </c>
      <c r="N375" s="5">
        <v>20</v>
      </c>
      <c r="O375" s="5">
        <v>6604.44</v>
      </c>
      <c r="P375">
        <f t="shared" si="65"/>
        <v>8255.55</v>
      </c>
      <c r="Q375">
        <f t="shared" si="66"/>
        <v>1651.11</v>
      </c>
      <c r="R375">
        <f t="shared" si="67"/>
        <v>6604.44</v>
      </c>
      <c r="S375" t="str">
        <f t="shared" si="68"/>
        <v>High</v>
      </c>
      <c r="T375" t="str">
        <f t="shared" si="69"/>
        <v>Medium</v>
      </c>
      <c r="U375" t="str">
        <f t="shared" si="70"/>
        <v>Heavy Discount</v>
      </c>
      <c r="V375" t="str">
        <f t="shared" si="71"/>
        <v>Good</v>
      </c>
      <c r="W375">
        <f t="shared" si="72"/>
        <v>99</v>
      </c>
      <c r="X375">
        <f t="shared" si="73"/>
        <v>106</v>
      </c>
      <c r="Y375">
        <f t="shared" si="74"/>
        <v>15</v>
      </c>
      <c r="Z375" t="str">
        <f t="shared" si="75"/>
        <v>Not Eligible</v>
      </c>
      <c r="AA375" t="str">
        <f t="shared" si="76"/>
        <v>Normal Order</v>
      </c>
      <c r="AB375" t="str">
        <f t="shared" si="77"/>
        <v>Online</v>
      </c>
    </row>
    <row r="376" spans="1:28">
      <c r="A376" s="5">
        <v>10375</v>
      </c>
      <c r="B376" s="5">
        <v>1159</v>
      </c>
      <c r="C376" s="6">
        <v>44970</v>
      </c>
      <c r="D376" s="6">
        <v>44970</v>
      </c>
      <c r="E376" s="5" t="s">
        <v>106</v>
      </c>
      <c r="F376" s="5" t="s">
        <v>89</v>
      </c>
      <c r="G376" s="5" t="s">
        <v>83</v>
      </c>
      <c r="H376" s="5" t="s">
        <v>101</v>
      </c>
      <c r="I376" s="5" t="s">
        <v>123</v>
      </c>
      <c r="J376" s="5" t="s">
        <v>135</v>
      </c>
      <c r="K376" s="5" t="s">
        <v>111</v>
      </c>
      <c r="L376" s="5">
        <v>3</v>
      </c>
      <c r="M376" s="5">
        <v>1998.18</v>
      </c>
      <c r="N376" s="5">
        <v>5</v>
      </c>
      <c r="O376" s="5">
        <v>5694.81</v>
      </c>
      <c r="P376">
        <f t="shared" si="65"/>
        <v>5994.54</v>
      </c>
      <c r="Q376">
        <f t="shared" si="66"/>
        <v>299.727</v>
      </c>
      <c r="R376">
        <f t="shared" si="67"/>
        <v>5694.813</v>
      </c>
      <c r="S376" t="str">
        <f t="shared" si="68"/>
        <v>Low</v>
      </c>
      <c r="T376" t="str">
        <f t="shared" si="69"/>
        <v>Low</v>
      </c>
      <c r="U376" t="str">
        <f t="shared" si="70"/>
        <v>Heavy Discount</v>
      </c>
      <c r="V376" t="str">
        <f t="shared" si="71"/>
        <v>Good</v>
      </c>
      <c r="W376">
        <f t="shared" si="72"/>
        <v>99</v>
      </c>
      <c r="X376">
        <f t="shared" si="73"/>
        <v>106</v>
      </c>
      <c r="Y376">
        <f t="shared" si="74"/>
        <v>15</v>
      </c>
      <c r="Z376" t="str">
        <f t="shared" si="75"/>
        <v>Not Eligible</v>
      </c>
      <c r="AA376" t="str">
        <f t="shared" si="76"/>
        <v>Normal Order</v>
      </c>
      <c r="AB376" t="str">
        <f t="shared" si="77"/>
        <v>Online</v>
      </c>
    </row>
    <row r="377" spans="1:28">
      <c r="A377" s="5">
        <v>10376</v>
      </c>
      <c r="B377" s="5">
        <v>1008</v>
      </c>
      <c r="C377" s="6">
        <v>45251</v>
      </c>
      <c r="D377" s="6">
        <v>45251</v>
      </c>
      <c r="E377" s="5" t="s">
        <v>103</v>
      </c>
      <c r="F377" s="5" t="s">
        <v>127</v>
      </c>
      <c r="G377" s="5" t="s">
        <v>96</v>
      </c>
      <c r="H377" s="5" t="s">
        <v>84</v>
      </c>
      <c r="I377" s="5" t="s">
        <v>132</v>
      </c>
      <c r="J377" s="5" t="s">
        <v>134</v>
      </c>
      <c r="K377" s="5" t="s">
        <v>111</v>
      </c>
      <c r="L377" s="5">
        <v>6</v>
      </c>
      <c r="M377" s="5">
        <v>681.36</v>
      </c>
      <c r="N377" s="5">
        <v>15</v>
      </c>
      <c r="O377" s="5">
        <v>3474.94</v>
      </c>
      <c r="P377">
        <f t="shared" si="65"/>
        <v>4088.16</v>
      </c>
      <c r="Q377">
        <f t="shared" si="66"/>
        <v>613.224</v>
      </c>
      <c r="R377">
        <f t="shared" si="67"/>
        <v>3474.936</v>
      </c>
      <c r="S377" t="str">
        <f t="shared" si="68"/>
        <v>High</v>
      </c>
      <c r="T377" t="str">
        <f t="shared" si="69"/>
        <v>High</v>
      </c>
      <c r="U377" t="str">
        <f t="shared" si="70"/>
        <v>Heavy Discount</v>
      </c>
      <c r="V377" t="str">
        <f t="shared" si="71"/>
        <v>Average</v>
      </c>
      <c r="W377">
        <f t="shared" si="72"/>
        <v>99</v>
      </c>
      <c r="X377">
        <f t="shared" si="73"/>
        <v>106</v>
      </c>
      <c r="Y377">
        <f t="shared" si="74"/>
        <v>15</v>
      </c>
      <c r="Z377" t="str">
        <f t="shared" si="75"/>
        <v>Not Eligible</v>
      </c>
      <c r="AA377" t="str">
        <f t="shared" si="76"/>
        <v>Prriority Order</v>
      </c>
      <c r="AB377" t="str">
        <f t="shared" si="77"/>
        <v/>
      </c>
    </row>
    <row r="378" spans="1:28">
      <c r="A378" s="5">
        <v>10377</v>
      </c>
      <c r="B378" s="5">
        <v>1232</v>
      </c>
      <c r="C378" s="6">
        <v>45202</v>
      </c>
      <c r="D378" s="6">
        <v>45202</v>
      </c>
      <c r="E378" s="5" t="s">
        <v>88</v>
      </c>
      <c r="F378" s="5" t="s">
        <v>89</v>
      </c>
      <c r="G378" s="5" t="s">
        <v>90</v>
      </c>
      <c r="H378" s="5" t="s">
        <v>91</v>
      </c>
      <c r="I378" s="5" t="s">
        <v>123</v>
      </c>
      <c r="J378" s="5" t="s">
        <v>131</v>
      </c>
      <c r="K378" s="5" t="s">
        <v>113</v>
      </c>
      <c r="L378" s="5">
        <v>8</v>
      </c>
      <c r="M378" s="5">
        <v>462</v>
      </c>
      <c r="N378" s="5">
        <v>5</v>
      </c>
      <c r="O378" s="5">
        <v>3511.2</v>
      </c>
      <c r="P378">
        <f t="shared" si="65"/>
        <v>3696</v>
      </c>
      <c r="Q378">
        <f t="shared" si="66"/>
        <v>184.8</v>
      </c>
      <c r="R378">
        <f t="shared" si="67"/>
        <v>3511.2</v>
      </c>
      <c r="S378" t="str">
        <f t="shared" si="68"/>
        <v>High</v>
      </c>
      <c r="T378" t="str">
        <f t="shared" si="69"/>
        <v>High</v>
      </c>
      <c r="U378" t="str">
        <f t="shared" si="70"/>
        <v>Heavy Discount</v>
      </c>
      <c r="V378" t="str">
        <f t="shared" si="71"/>
        <v>Average</v>
      </c>
      <c r="W378">
        <f t="shared" si="72"/>
        <v>99</v>
      </c>
      <c r="X378">
        <f t="shared" si="73"/>
        <v>106</v>
      </c>
      <c r="Y378">
        <f t="shared" si="74"/>
        <v>15</v>
      </c>
      <c r="Z378" t="str">
        <f t="shared" si="75"/>
        <v>Not Eligible</v>
      </c>
      <c r="AA378" t="str">
        <f t="shared" si="76"/>
        <v>Prriority Order</v>
      </c>
      <c r="AB378" t="str">
        <f t="shared" si="77"/>
        <v>Online</v>
      </c>
    </row>
    <row r="379" spans="1:28">
      <c r="A379" s="5">
        <v>10378</v>
      </c>
      <c r="B379" s="5">
        <v>1098</v>
      </c>
      <c r="C379" s="6">
        <v>45192</v>
      </c>
      <c r="D379" s="6">
        <v>45192</v>
      </c>
      <c r="E379" s="5" t="s">
        <v>106</v>
      </c>
      <c r="F379" s="5" t="s">
        <v>89</v>
      </c>
      <c r="G379" s="5" t="s">
        <v>83</v>
      </c>
      <c r="H379" s="5" t="s">
        <v>101</v>
      </c>
      <c r="I379" s="5" t="s">
        <v>123</v>
      </c>
      <c r="J379" s="5" t="s">
        <v>139</v>
      </c>
      <c r="K379" s="5" t="s">
        <v>94</v>
      </c>
      <c r="L379" s="5">
        <v>9</v>
      </c>
      <c r="M379" s="5">
        <v>3344.43</v>
      </c>
      <c r="N379" s="5">
        <v>10</v>
      </c>
      <c r="O379" s="5">
        <v>27089.88</v>
      </c>
      <c r="P379">
        <f t="shared" si="65"/>
        <v>30099.87</v>
      </c>
      <c r="Q379">
        <f t="shared" si="66"/>
        <v>3009.987</v>
      </c>
      <c r="R379">
        <f t="shared" si="67"/>
        <v>27089.883</v>
      </c>
      <c r="S379" t="str">
        <f t="shared" si="68"/>
        <v>High</v>
      </c>
      <c r="T379" t="str">
        <f t="shared" si="69"/>
        <v>High</v>
      </c>
      <c r="U379" t="str">
        <f t="shared" si="70"/>
        <v>Heavy Discount</v>
      </c>
      <c r="V379" t="str">
        <f t="shared" si="71"/>
        <v>Excellent Sales</v>
      </c>
      <c r="W379">
        <f t="shared" si="72"/>
        <v>99</v>
      </c>
      <c r="X379">
        <f t="shared" si="73"/>
        <v>106</v>
      </c>
      <c r="Y379">
        <f t="shared" si="74"/>
        <v>15</v>
      </c>
      <c r="Z379" t="str">
        <f t="shared" si="75"/>
        <v>Not Eligible</v>
      </c>
      <c r="AA379" t="str">
        <f t="shared" si="76"/>
        <v>Prriority Order</v>
      </c>
      <c r="AB379" t="str">
        <f t="shared" si="77"/>
        <v>Online</v>
      </c>
    </row>
    <row r="380" spans="1:28">
      <c r="A380" s="5">
        <v>10379</v>
      </c>
      <c r="B380" s="5">
        <v>1658</v>
      </c>
      <c r="C380" s="6">
        <v>45270</v>
      </c>
      <c r="D380" s="6">
        <v>45270</v>
      </c>
      <c r="E380" s="5" t="s">
        <v>81</v>
      </c>
      <c r="F380" s="5" t="s">
        <v>82</v>
      </c>
      <c r="G380" s="5" t="s">
        <v>90</v>
      </c>
      <c r="H380" s="5" t="s">
        <v>101</v>
      </c>
      <c r="I380" s="5" t="s">
        <v>92</v>
      </c>
      <c r="J380" s="5" t="s">
        <v>144</v>
      </c>
      <c r="K380" s="5" t="s">
        <v>111</v>
      </c>
      <c r="L380" s="5">
        <v>1</v>
      </c>
      <c r="M380" s="5">
        <v>3910.66</v>
      </c>
      <c r="N380" s="5">
        <v>5</v>
      </c>
      <c r="O380" s="5">
        <v>3715.13</v>
      </c>
      <c r="P380">
        <f t="shared" si="65"/>
        <v>3910.66</v>
      </c>
      <c r="Q380">
        <f t="shared" si="66"/>
        <v>195.533</v>
      </c>
      <c r="R380">
        <f t="shared" si="67"/>
        <v>3715.127</v>
      </c>
      <c r="S380" t="str">
        <f t="shared" si="68"/>
        <v>Low</v>
      </c>
      <c r="T380" t="str">
        <f t="shared" si="69"/>
        <v>Low</v>
      </c>
      <c r="U380" t="str">
        <f t="shared" si="70"/>
        <v>Heavy Discount</v>
      </c>
      <c r="V380" t="str">
        <f t="shared" si="71"/>
        <v>Average</v>
      </c>
      <c r="W380">
        <f t="shared" si="72"/>
        <v>99</v>
      </c>
      <c r="X380">
        <f t="shared" si="73"/>
        <v>106</v>
      </c>
      <c r="Y380">
        <f t="shared" si="74"/>
        <v>15</v>
      </c>
      <c r="Z380" t="str">
        <f t="shared" si="75"/>
        <v>Not Eligible</v>
      </c>
      <c r="AA380" t="str">
        <f t="shared" si="76"/>
        <v>Normal Order</v>
      </c>
      <c r="AB380" t="str">
        <f t="shared" si="77"/>
        <v>Online</v>
      </c>
    </row>
    <row r="381" spans="1:28">
      <c r="A381" s="5">
        <v>10380</v>
      </c>
      <c r="B381" s="5">
        <v>1815</v>
      </c>
      <c r="C381" s="6">
        <v>45300</v>
      </c>
      <c r="D381" s="6">
        <v>45300</v>
      </c>
      <c r="E381" s="5" t="s">
        <v>103</v>
      </c>
      <c r="F381" s="5" t="s">
        <v>82</v>
      </c>
      <c r="G381" s="5" t="s">
        <v>83</v>
      </c>
      <c r="H381" s="5" t="s">
        <v>108</v>
      </c>
      <c r="I381" s="5" t="s">
        <v>85</v>
      </c>
      <c r="J381" s="5" t="s">
        <v>129</v>
      </c>
      <c r="K381" s="5" t="s">
        <v>99</v>
      </c>
      <c r="L381" s="5">
        <v>3</v>
      </c>
      <c r="M381" s="5">
        <v>1708.19</v>
      </c>
      <c r="N381" s="5">
        <v>10</v>
      </c>
      <c r="O381" s="5">
        <v>4612.11</v>
      </c>
      <c r="P381">
        <f t="shared" si="65"/>
        <v>5124.57</v>
      </c>
      <c r="Q381">
        <f t="shared" si="66"/>
        <v>512.457</v>
      </c>
      <c r="R381">
        <f t="shared" si="67"/>
        <v>4612.113</v>
      </c>
      <c r="S381" t="str">
        <f t="shared" si="68"/>
        <v>Low</v>
      </c>
      <c r="T381" t="str">
        <f t="shared" si="69"/>
        <v>Low</v>
      </c>
      <c r="U381" t="str">
        <f t="shared" si="70"/>
        <v>Heavy Discount</v>
      </c>
      <c r="V381" t="str">
        <f t="shared" si="71"/>
        <v>Good</v>
      </c>
      <c r="W381">
        <f t="shared" si="72"/>
        <v>99</v>
      </c>
      <c r="X381">
        <f t="shared" si="73"/>
        <v>106</v>
      </c>
      <c r="Y381">
        <f t="shared" si="74"/>
        <v>15</v>
      </c>
      <c r="Z381" t="str">
        <f t="shared" si="75"/>
        <v>Not Eligible</v>
      </c>
      <c r="AA381" t="str">
        <f t="shared" si="76"/>
        <v>Normal Order</v>
      </c>
      <c r="AB381" t="str">
        <f t="shared" si="77"/>
        <v>Online</v>
      </c>
    </row>
    <row r="382" spans="1:28">
      <c r="A382" s="5">
        <v>10381</v>
      </c>
      <c r="B382" s="5">
        <v>1207</v>
      </c>
      <c r="C382" s="6">
        <v>45188</v>
      </c>
      <c r="D382" s="6">
        <v>45188</v>
      </c>
      <c r="E382" s="5" t="s">
        <v>82</v>
      </c>
      <c r="F382" s="5" t="s">
        <v>89</v>
      </c>
      <c r="G382" s="5" t="s">
        <v>90</v>
      </c>
      <c r="H382" s="5" t="s">
        <v>110</v>
      </c>
      <c r="I382" s="5" t="s">
        <v>123</v>
      </c>
      <c r="J382" s="5" t="s">
        <v>131</v>
      </c>
      <c r="K382" s="5" t="s">
        <v>113</v>
      </c>
      <c r="L382" s="5">
        <v>3</v>
      </c>
      <c r="M382" s="5">
        <v>487.45</v>
      </c>
      <c r="N382" s="5">
        <v>5</v>
      </c>
      <c r="O382" s="5">
        <v>1389.23</v>
      </c>
      <c r="P382">
        <f t="shared" si="65"/>
        <v>1462.35</v>
      </c>
      <c r="Q382">
        <f t="shared" si="66"/>
        <v>73.1175</v>
      </c>
      <c r="R382">
        <f t="shared" si="67"/>
        <v>1389.2325</v>
      </c>
      <c r="S382" t="str">
        <f t="shared" si="68"/>
        <v>Low</v>
      </c>
      <c r="T382" t="str">
        <f t="shared" si="69"/>
        <v>Low</v>
      </c>
      <c r="U382" t="str">
        <f t="shared" si="70"/>
        <v>Heavy Discount</v>
      </c>
      <c r="V382" t="str">
        <f t="shared" si="71"/>
        <v>Average</v>
      </c>
      <c r="W382">
        <f t="shared" si="72"/>
        <v>99</v>
      </c>
      <c r="X382">
        <f t="shared" si="73"/>
        <v>106</v>
      </c>
      <c r="Y382">
        <f t="shared" si="74"/>
        <v>15</v>
      </c>
      <c r="Z382" t="str">
        <f t="shared" si="75"/>
        <v>Not Eligible</v>
      </c>
      <c r="AA382" t="str">
        <f t="shared" si="76"/>
        <v>Normal Order</v>
      </c>
      <c r="AB382" t="str">
        <f t="shared" si="77"/>
        <v>Online</v>
      </c>
    </row>
    <row r="383" spans="1:28">
      <c r="A383" s="5">
        <v>10382</v>
      </c>
      <c r="B383" s="5">
        <v>1130</v>
      </c>
      <c r="C383" s="6">
        <v>45212</v>
      </c>
      <c r="D383" s="6">
        <v>45212</v>
      </c>
      <c r="E383" s="5" t="s">
        <v>82</v>
      </c>
      <c r="F383" s="5" t="s">
        <v>89</v>
      </c>
      <c r="G383" s="5" t="s">
        <v>96</v>
      </c>
      <c r="H383" s="5" t="s">
        <v>110</v>
      </c>
      <c r="I383" s="5" t="s">
        <v>92</v>
      </c>
      <c r="J383" s="5" t="s">
        <v>102</v>
      </c>
      <c r="K383" s="5" t="s">
        <v>113</v>
      </c>
      <c r="L383" s="5">
        <v>8</v>
      </c>
      <c r="M383" s="5">
        <v>403.38</v>
      </c>
      <c r="N383" s="5">
        <v>10</v>
      </c>
      <c r="O383" s="5">
        <v>2904.34</v>
      </c>
      <c r="P383">
        <f t="shared" si="65"/>
        <v>3227.04</v>
      </c>
      <c r="Q383">
        <f t="shared" si="66"/>
        <v>322.704</v>
      </c>
      <c r="R383">
        <f t="shared" si="67"/>
        <v>2904.336</v>
      </c>
      <c r="S383" t="str">
        <f t="shared" si="68"/>
        <v>High</v>
      </c>
      <c r="T383" t="str">
        <f t="shared" si="69"/>
        <v>High</v>
      </c>
      <c r="U383" t="str">
        <f t="shared" si="70"/>
        <v>Heavy Discount</v>
      </c>
      <c r="V383" t="str">
        <f t="shared" si="71"/>
        <v>Average</v>
      </c>
      <c r="W383">
        <f t="shared" si="72"/>
        <v>99</v>
      </c>
      <c r="X383">
        <f t="shared" si="73"/>
        <v>106</v>
      </c>
      <c r="Y383">
        <f t="shared" si="74"/>
        <v>15</v>
      </c>
      <c r="Z383" t="str">
        <f t="shared" si="75"/>
        <v>Not Eligible</v>
      </c>
      <c r="AA383" t="str">
        <f t="shared" si="76"/>
        <v>Prriority Order</v>
      </c>
      <c r="AB383" t="str">
        <f t="shared" si="77"/>
        <v/>
      </c>
    </row>
    <row r="384" spans="1:28">
      <c r="A384" s="5">
        <v>10383</v>
      </c>
      <c r="B384" s="5">
        <v>1403</v>
      </c>
      <c r="C384" s="6">
        <v>45042</v>
      </c>
      <c r="D384" s="6">
        <v>45042</v>
      </c>
      <c r="E384" s="5" t="s">
        <v>103</v>
      </c>
      <c r="F384" s="5" t="s">
        <v>89</v>
      </c>
      <c r="G384" s="5" t="s">
        <v>90</v>
      </c>
      <c r="H384" s="5" t="s">
        <v>108</v>
      </c>
      <c r="I384" s="5" t="s">
        <v>97</v>
      </c>
      <c r="J384" s="5" t="s">
        <v>114</v>
      </c>
      <c r="K384" s="5" t="s">
        <v>99</v>
      </c>
      <c r="L384" s="5">
        <v>1</v>
      </c>
      <c r="M384" s="5">
        <v>3581.58</v>
      </c>
      <c r="N384" s="5">
        <v>15</v>
      </c>
      <c r="O384" s="5">
        <v>3044.34</v>
      </c>
      <c r="P384">
        <f t="shared" si="65"/>
        <v>3581.58</v>
      </c>
      <c r="Q384">
        <f t="shared" si="66"/>
        <v>537.237</v>
      </c>
      <c r="R384">
        <f t="shared" si="67"/>
        <v>3044.343</v>
      </c>
      <c r="S384" t="str">
        <f t="shared" si="68"/>
        <v>Low</v>
      </c>
      <c r="T384" t="str">
        <f t="shared" si="69"/>
        <v>Low</v>
      </c>
      <c r="U384" t="str">
        <f t="shared" si="70"/>
        <v>Heavy Discount</v>
      </c>
      <c r="V384" t="str">
        <f t="shared" si="71"/>
        <v>Average</v>
      </c>
      <c r="W384">
        <f t="shared" si="72"/>
        <v>99</v>
      </c>
      <c r="X384">
        <f t="shared" si="73"/>
        <v>106</v>
      </c>
      <c r="Y384">
        <f t="shared" si="74"/>
        <v>15</v>
      </c>
      <c r="Z384" t="str">
        <f t="shared" si="75"/>
        <v>Not Eligible</v>
      </c>
      <c r="AA384" t="str">
        <f t="shared" si="76"/>
        <v>Normal Order</v>
      </c>
      <c r="AB384" t="str">
        <f t="shared" si="77"/>
        <v>Online</v>
      </c>
    </row>
    <row r="385" spans="1:28">
      <c r="A385" s="5">
        <v>10384</v>
      </c>
      <c r="B385" s="5">
        <v>1151</v>
      </c>
      <c r="C385" s="6">
        <v>45297</v>
      </c>
      <c r="D385" s="6">
        <v>45297</v>
      </c>
      <c r="E385" s="5" t="s">
        <v>88</v>
      </c>
      <c r="F385" s="5" t="s">
        <v>82</v>
      </c>
      <c r="G385" s="5" t="s">
        <v>90</v>
      </c>
      <c r="H385" s="5" t="s">
        <v>108</v>
      </c>
      <c r="I385" s="5" t="s">
        <v>85</v>
      </c>
      <c r="J385" s="5" t="s">
        <v>129</v>
      </c>
      <c r="K385" s="5" t="s">
        <v>94</v>
      </c>
      <c r="L385" s="5">
        <v>5</v>
      </c>
      <c r="M385" s="5">
        <v>1935.68</v>
      </c>
      <c r="N385" s="5">
        <v>20</v>
      </c>
      <c r="O385" s="5">
        <v>7742.72</v>
      </c>
      <c r="P385">
        <f t="shared" si="65"/>
        <v>9678.4</v>
      </c>
      <c r="Q385">
        <f t="shared" si="66"/>
        <v>1935.68</v>
      </c>
      <c r="R385">
        <f t="shared" si="67"/>
        <v>7742.72</v>
      </c>
      <c r="S385" t="str">
        <f t="shared" si="68"/>
        <v>High</v>
      </c>
      <c r="T385" t="str">
        <f t="shared" si="69"/>
        <v>Medium</v>
      </c>
      <c r="U385" t="str">
        <f t="shared" si="70"/>
        <v>Heavy Discount</v>
      </c>
      <c r="V385" t="str">
        <f t="shared" si="71"/>
        <v>Excellent Sales</v>
      </c>
      <c r="W385">
        <f t="shared" si="72"/>
        <v>99</v>
      </c>
      <c r="X385">
        <f t="shared" si="73"/>
        <v>106</v>
      </c>
      <c r="Y385">
        <f t="shared" si="74"/>
        <v>15</v>
      </c>
      <c r="Z385" t="str">
        <f t="shared" si="75"/>
        <v>Not Eligible</v>
      </c>
      <c r="AA385" t="str">
        <f t="shared" si="76"/>
        <v>Prriority Order</v>
      </c>
      <c r="AB385" t="str">
        <f t="shared" si="77"/>
        <v>Online</v>
      </c>
    </row>
    <row r="386" spans="1:28">
      <c r="A386" s="5">
        <v>10385</v>
      </c>
      <c r="B386" s="5">
        <v>1053</v>
      </c>
      <c r="C386" s="6">
        <v>44967</v>
      </c>
      <c r="D386" s="6">
        <v>44967</v>
      </c>
      <c r="E386" s="5" t="s">
        <v>82</v>
      </c>
      <c r="F386" s="5" t="s">
        <v>89</v>
      </c>
      <c r="G386" s="5" t="s">
        <v>90</v>
      </c>
      <c r="H386" s="5" t="s">
        <v>108</v>
      </c>
      <c r="I386" s="5" t="s">
        <v>123</v>
      </c>
      <c r="J386" s="5" t="s">
        <v>139</v>
      </c>
      <c r="K386" s="5" t="s">
        <v>99</v>
      </c>
      <c r="L386" s="5">
        <v>3</v>
      </c>
      <c r="M386" s="5">
        <v>1382.11</v>
      </c>
      <c r="N386" s="5">
        <v>10</v>
      </c>
      <c r="O386" s="5">
        <v>3731.7</v>
      </c>
      <c r="P386">
        <f t="shared" si="65"/>
        <v>4146.33</v>
      </c>
      <c r="Q386">
        <f t="shared" si="66"/>
        <v>414.633</v>
      </c>
      <c r="R386">
        <f t="shared" si="67"/>
        <v>3731.697</v>
      </c>
      <c r="S386" t="str">
        <f t="shared" si="68"/>
        <v>Low</v>
      </c>
      <c r="T386" t="str">
        <f t="shared" si="69"/>
        <v>Low</v>
      </c>
      <c r="U386" t="str">
        <f t="shared" si="70"/>
        <v>Heavy Discount</v>
      </c>
      <c r="V386" t="str">
        <f t="shared" si="71"/>
        <v>Average</v>
      </c>
      <c r="W386">
        <f t="shared" si="72"/>
        <v>99</v>
      </c>
      <c r="X386">
        <f t="shared" si="73"/>
        <v>106</v>
      </c>
      <c r="Y386">
        <f t="shared" si="74"/>
        <v>15</v>
      </c>
      <c r="Z386" t="str">
        <f t="shared" si="75"/>
        <v>Not Eligible</v>
      </c>
      <c r="AA386" t="str">
        <f t="shared" si="76"/>
        <v>Normal Order</v>
      </c>
      <c r="AB386" t="str">
        <f t="shared" si="77"/>
        <v>Online</v>
      </c>
    </row>
    <row r="387" spans="1:28">
      <c r="A387" s="5">
        <v>10386</v>
      </c>
      <c r="B387" s="5">
        <v>1119</v>
      </c>
      <c r="C387" s="6">
        <v>45154</v>
      </c>
      <c r="D387" s="6">
        <v>45154</v>
      </c>
      <c r="E387" s="5" t="s">
        <v>81</v>
      </c>
      <c r="F387" s="5" t="s">
        <v>89</v>
      </c>
      <c r="G387" s="5" t="s">
        <v>90</v>
      </c>
      <c r="H387" s="5" t="s">
        <v>110</v>
      </c>
      <c r="I387" s="5" t="s">
        <v>115</v>
      </c>
      <c r="J387" s="5" t="s">
        <v>143</v>
      </c>
      <c r="K387" s="5" t="s">
        <v>94</v>
      </c>
      <c r="L387" s="5">
        <v>2</v>
      </c>
      <c r="M387" s="5">
        <v>1984.38</v>
      </c>
      <c r="N387" s="5">
        <v>10</v>
      </c>
      <c r="O387" s="5">
        <v>3571.88</v>
      </c>
      <c r="P387">
        <f t="shared" ref="P387:P450" si="78">L387*M387</f>
        <v>3968.76</v>
      </c>
      <c r="Q387">
        <f t="shared" ref="Q387:Q450" si="79">P387*(N387/100)</f>
        <v>396.876</v>
      </c>
      <c r="R387">
        <f t="shared" ref="R387:R450" si="80">P387-Q387</f>
        <v>3571.884</v>
      </c>
      <c r="S387" t="str">
        <f t="shared" ref="S387:S450" si="81">IF(L387&gt;=5,"High","Low")</f>
        <v>Low</v>
      </c>
      <c r="T387" t="str">
        <f t="shared" ref="T387:T450" si="82">IF(L387&gt;5,"High",IF(L387=5,"Medium","Low"))</f>
        <v>Low</v>
      </c>
      <c r="U387" t="str">
        <f t="shared" ref="U387:U450" si="83">IF(N387&gt;10%,"Heavy Discount","Normal Discount")</f>
        <v>Heavy Discount</v>
      </c>
      <c r="V387" t="str">
        <f t="shared" ref="V387:V450" si="84">IF(O387&gt;=7000,"Excellent Sales",IF(O387&gt;=4000,"Good","Average"))</f>
        <v>Average</v>
      </c>
      <c r="W387">
        <f t="shared" ref="W387:W450" si="85">COUNTIF($I$2:$I$501,"Beauty")</f>
        <v>99</v>
      </c>
      <c r="X387">
        <f t="shared" ref="X387:X450" si="86">COUNTIF($N$2:$N$501,"&gt;15")</f>
        <v>106</v>
      </c>
      <c r="Y387">
        <f t="shared" ref="Y387:Y450" si="87">COUNTIFS(I387:I886,"Electronics",G387:G886,"&lt;&gt;Marketplace")</f>
        <v>15</v>
      </c>
      <c r="Z387" t="str">
        <f t="shared" ref="Z387:Z450" si="88">IF(AND(O387:O886,N387&lt;10%),"Eligible","Not Eligible")</f>
        <v>Not Eligible</v>
      </c>
      <c r="AA387" t="str">
        <f t="shared" ref="AA387:AA450" si="89">IF(OR(O387&gt;7000,L387&gt;5),"Prriority Order","Normal Order")</f>
        <v>Normal Order</v>
      </c>
      <c r="AB387" t="str">
        <f t="shared" ref="AB387:AB450" si="90">IF(G387&lt;&gt;"Marketplace","Online","")</f>
        <v>Online</v>
      </c>
    </row>
    <row r="388" spans="1:28">
      <c r="A388" s="5">
        <v>10387</v>
      </c>
      <c r="B388" s="5">
        <v>1672</v>
      </c>
      <c r="C388" s="6">
        <v>45062</v>
      </c>
      <c r="D388" s="6">
        <v>45062</v>
      </c>
      <c r="E388" s="5" t="s">
        <v>112</v>
      </c>
      <c r="F388" s="5" t="s">
        <v>95</v>
      </c>
      <c r="G388" s="5" t="s">
        <v>90</v>
      </c>
      <c r="H388" s="5" t="s">
        <v>108</v>
      </c>
      <c r="I388" s="5" t="s">
        <v>97</v>
      </c>
      <c r="J388" s="5" t="s">
        <v>98</v>
      </c>
      <c r="K388" s="5" t="s">
        <v>99</v>
      </c>
      <c r="L388" s="5">
        <v>8</v>
      </c>
      <c r="M388" s="5">
        <v>1375.47</v>
      </c>
      <c r="N388" s="5">
        <v>15</v>
      </c>
      <c r="O388" s="5">
        <v>9353.2</v>
      </c>
      <c r="P388">
        <f t="shared" si="78"/>
        <v>11003.76</v>
      </c>
      <c r="Q388">
        <f t="shared" si="79"/>
        <v>1650.564</v>
      </c>
      <c r="R388">
        <f t="shared" si="80"/>
        <v>9353.196</v>
      </c>
      <c r="S388" t="str">
        <f t="shared" si="81"/>
        <v>High</v>
      </c>
      <c r="T388" t="str">
        <f t="shared" si="82"/>
        <v>High</v>
      </c>
      <c r="U388" t="str">
        <f t="shared" si="83"/>
        <v>Heavy Discount</v>
      </c>
      <c r="V388" t="str">
        <f t="shared" si="84"/>
        <v>Excellent Sales</v>
      </c>
      <c r="W388">
        <f t="shared" si="85"/>
        <v>99</v>
      </c>
      <c r="X388">
        <f t="shared" si="86"/>
        <v>106</v>
      </c>
      <c r="Y388">
        <f t="shared" si="87"/>
        <v>14</v>
      </c>
      <c r="Z388" t="str">
        <f t="shared" si="88"/>
        <v>Not Eligible</v>
      </c>
      <c r="AA388" t="str">
        <f t="shared" si="89"/>
        <v>Prriority Order</v>
      </c>
      <c r="AB388" t="str">
        <f t="shared" si="90"/>
        <v>Online</v>
      </c>
    </row>
    <row r="389" spans="1:28">
      <c r="A389" s="5">
        <v>10388</v>
      </c>
      <c r="B389" s="5">
        <v>1919</v>
      </c>
      <c r="C389" s="6">
        <v>44941</v>
      </c>
      <c r="D389" s="6">
        <v>44941</v>
      </c>
      <c r="E389" s="5" t="s">
        <v>88</v>
      </c>
      <c r="F389" s="5" t="s">
        <v>127</v>
      </c>
      <c r="G389" s="5" t="s">
        <v>96</v>
      </c>
      <c r="H389" s="5" t="s">
        <v>84</v>
      </c>
      <c r="I389" s="5" t="s">
        <v>97</v>
      </c>
      <c r="J389" s="5" t="s">
        <v>105</v>
      </c>
      <c r="K389" s="5" t="s">
        <v>99</v>
      </c>
      <c r="L389" s="5">
        <v>3</v>
      </c>
      <c r="M389" s="5">
        <v>2032.79</v>
      </c>
      <c r="N389" s="5">
        <v>10</v>
      </c>
      <c r="O389" s="5">
        <v>5488.53</v>
      </c>
      <c r="P389">
        <f t="shared" si="78"/>
        <v>6098.37</v>
      </c>
      <c r="Q389">
        <f t="shared" si="79"/>
        <v>609.837</v>
      </c>
      <c r="R389">
        <f t="shared" si="80"/>
        <v>5488.533</v>
      </c>
      <c r="S389" t="str">
        <f t="shared" si="81"/>
        <v>Low</v>
      </c>
      <c r="T389" t="str">
        <f t="shared" si="82"/>
        <v>Low</v>
      </c>
      <c r="U389" t="str">
        <f t="shared" si="83"/>
        <v>Heavy Discount</v>
      </c>
      <c r="V389" t="str">
        <f t="shared" si="84"/>
        <v>Good</v>
      </c>
      <c r="W389">
        <f t="shared" si="85"/>
        <v>99</v>
      </c>
      <c r="X389">
        <f t="shared" si="86"/>
        <v>106</v>
      </c>
      <c r="Y389">
        <f t="shared" si="87"/>
        <v>14</v>
      </c>
      <c r="Z389" t="str">
        <f t="shared" si="88"/>
        <v>Not Eligible</v>
      </c>
      <c r="AA389" t="str">
        <f t="shared" si="89"/>
        <v>Normal Order</v>
      </c>
      <c r="AB389" t="str">
        <f t="shared" si="90"/>
        <v/>
      </c>
    </row>
    <row r="390" spans="1:28">
      <c r="A390" s="5">
        <v>10389</v>
      </c>
      <c r="B390" s="5">
        <v>1627</v>
      </c>
      <c r="C390" s="6">
        <v>45030</v>
      </c>
      <c r="D390" s="6">
        <v>45030</v>
      </c>
      <c r="E390" s="5" t="s">
        <v>81</v>
      </c>
      <c r="F390" s="5" t="s">
        <v>104</v>
      </c>
      <c r="G390" s="5" t="s">
        <v>83</v>
      </c>
      <c r="H390" s="5" t="s">
        <v>101</v>
      </c>
      <c r="I390" s="5" t="s">
        <v>92</v>
      </c>
      <c r="J390" s="5" t="s">
        <v>144</v>
      </c>
      <c r="K390" s="5" t="s">
        <v>87</v>
      </c>
      <c r="L390" s="5">
        <v>7</v>
      </c>
      <c r="M390" s="5">
        <v>3459.29</v>
      </c>
      <c r="N390" s="5">
        <v>0</v>
      </c>
      <c r="O390" s="5">
        <v>24215.03</v>
      </c>
      <c r="P390">
        <f t="shared" si="78"/>
        <v>24215.03</v>
      </c>
      <c r="Q390">
        <f t="shared" si="79"/>
        <v>0</v>
      </c>
      <c r="R390">
        <f t="shared" si="80"/>
        <v>24215.03</v>
      </c>
      <c r="S390" t="str">
        <f t="shared" si="81"/>
        <v>High</v>
      </c>
      <c r="T390" t="str">
        <f t="shared" si="82"/>
        <v>High</v>
      </c>
      <c r="U390" t="str">
        <f t="shared" si="83"/>
        <v>Normal Discount</v>
      </c>
      <c r="V390" t="str">
        <f t="shared" si="84"/>
        <v>Excellent Sales</v>
      </c>
      <c r="W390">
        <f t="shared" si="85"/>
        <v>99</v>
      </c>
      <c r="X390">
        <f t="shared" si="86"/>
        <v>106</v>
      </c>
      <c r="Y390">
        <f t="shared" si="87"/>
        <v>14</v>
      </c>
      <c r="Z390" t="str">
        <f t="shared" si="88"/>
        <v>Eligible</v>
      </c>
      <c r="AA390" t="str">
        <f t="shared" si="89"/>
        <v>Prriority Order</v>
      </c>
      <c r="AB390" t="str">
        <f t="shared" si="90"/>
        <v>Online</v>
      </c>
    </row>
    <row r="391" spans="1:28">
      <c r="A391" s="5">
        <v>10390</v>
      </c>
      <c r="B391" s="5">
        <v>1586</v>
      </c>
      <c r="C391" s="6">
        <v>45103</v>
      </c>
      <c r="D391" s="6">
        <v>45103</v>
      </c>
      <c r="E391" s="5" t="s">
        <v>106</v>
      </c>
      <c r="F391" s="5" t="s">
        <v>127</v>
      </c>
      <c r="G391" s="5" t="s">
        <v>90</v>
      </c>
      <c r="H391" s="5" t="s">
        <v>101</v>
      </c>
      <c r="I391" s="5" t="s">
        <v>97</v>
      </c>
      <c r="J391" s="5" t="s">
        <v>114</v>
      </c>
      <c r="K391" s="5" t="s">
        <v>113</v>
      </c>
      <c r="L391" s="5">
        <v>1</v>
      </c>
      <c r="M391" s="5">
        <v>2430.36</v>
      </c>
      <c r="N391" s="5">
        <v>15</v>
      </c>
      <c r="O391" s="5">
        <v>2065.81</v>
      </c>
      <c r="P391">
        <f t="shared" si="78"/>
        <v>2430.36</v>
      </c>
      <c r="Q391">
        <f t="shared" si="79"/>
        <v>364.554</v>
      </c>
      <c r="R391">
        <f t="shared" si="80"/>
        <v>2065.806</v>
      </c>
      <c r="S391" t="str">
        <f t="shared" si="81"/>
        <v>Low</v>
      </c>
      <c r="T391" t="str">
        <f t="shared" si="82"/>
        <v>Low</v>
      </c>
      <c r="U391" t="str">
        <f t="shared" si="83"/>
        <v>Heavy Discount</v>
      </c>
      <c r="V391" t="str">
        <f t="shared" si="84"/>
        <v>Average</v>
      </c>
      <c r="W391">
        <f t="shared" si="85"/>
        <v>99</v>
      </c>
      <c r="X391">
        <f t="shared" si="86"/>
        <v>106</v>
      </c>
      <c r="Y391">
        <f t="shared" si="87"/>
        <v>14</v>
      </c>
      <c r="Z391" t="str">
        <f t="shared" si="88"/>
        <v>Not Eligible</v>
      </c>
      <c r="AA391" t="str">
        <f t="shared" si="89"/>
        <v>Normal Order</v>
      </c>
      <c r="AB391" t="str">
        <f t="shared" si="90"/>
        <v>Online</v>
      </c>
    </row>
    <row r="392" spans="1:28">
      <c r="A392" s="5">
        <v>10391</v>
      </c>
      <c r="B392" s="5">
        <v>1624</v>
      </c>
      <c r="C392" s="6">
        <v>45037</v>
      </c>
      <c r="D392" s="6">
        <v>45037</v>
      </c>
      <c r="E392" s="5" t="s">
        <v>81</v>
      </c>
      <c r="F392" s="5" t="s">
        <v>95</v>
      </c>
      <c r="G392" s="5" t="s">
        <v>96</v>
      </c>
      <c r="H392" s="5" t="s">
        <v>91</v>
      </c>
      <c r="I392" s="5" t="s">
        <v>85</v>
      </c>
      <c r="J392" s="5" t="s">
        <v>141</v>
      </c>
      <c r="K392" s="5" t="s">
        <v>99</v>
      </c>
      <c r="L392" s="5">
        <v>6</v>
      </c>
      <c r="M392" s="5">
        <v>2824.42</v>
      </c>
      <c r="N392" s="5">
        <v>0</v>
      </c>
      <c r="O392" s="5">
        <v>16946.52</v>
      </c>
      <c r="P392">
        <f t="shared" si="78"/>
        <v>16946.52</v>
      </c>
      <c r="Q392">
        <f t="shared" si="79"/>
        <v>0</v>
      </c>
      <c r="R392">
        <f t="shared" si="80"/>
        <v>16946.52</v>
      </c>
      <c r="S392" t="str">
        <f t="shared" si="81"/>
        <v>High</v>
      </c>
      <c r="T392" t="str">
        <f t="shared" si="82"/>
        <v>High</v>
      </c>
      <c r="U392" t="str">
        <f t="shared" si="83"/>
        <v>Normal Discount</v>
      </c>
      <c r="V392" t="str">
        <f t="shared" si="84"/>
        <v>Excellent Sales</v>
      </c>
      <c r="W392">
        <f t="shared" si="85"/>
        <v>99</v>
      </c>
      <c r="X392">
        <f t="shared" si="86"/>
        <v>106</v>
      </c>
      <c r="Y392">
        <f t="shared" si="87"/>
        <v>14</v>
      </c>
      <c r="Z392" t="str">
        <f t="shared" si="88"/>
        <v>Eligible</v>
      </c>
      <c r="AA392" t="str">
        <f t="shared" si="89"/>
        <v>Prriority Order</v>
      </c>
      <c r="AB392" t="str">
        <f t="shared" si="90"/>
        <v/>
      </c>
    </row>
    <row r="393" spans="1:28">
      <c r="A393" s="5">
        <v>10392</v>
      </c>
      <c r="B393" s="5">
        <v>1967</v>
      </c>
      <c r="C393" s="6">
        <v>45036</v>
      </c>
      <c r="D393" s="6">
        <v>45036</v>
      </c>
      <c r="E393" s="5" t="s">
        <v>88</v>
      </c>
      <c r="F393" s="5" t="s">
        <v>104</v>
      </c>
      <c r="G393" s="5" t="s">
        <v>90</v>
      </c>
      <c r="H393" s="5" t="s">
        <v>91</v>
      </c>
      <c r="I393" s="5" t="s">
        <v>123</v>
      </c>
      <c r="J393" s="5" t="s">
        <v>135</v>
      </c>
      <c r="K393" s="5" t="s">
        <v>99</v>
      </c>
      <c r="L393" s="5">
        <v>3</v>
      </c>
      <c r="M393" s="5">
        <v>1553.98</v>
      </c>
      <c r="N393" s="5">
        <v>15</v>
      </c>
      <c r="O393" s="5">
        <v>3962.65</v>
      </c>
      <c r="P393">
        <f t="shared" si="78"/>
        <v>4661.94</v>
      </c>
      <c r="Q393">
        <f t="shared" si="79"/>
        <v>699.291</v>
      </c>
      <c r="R393">
        <f t="shared" si="80"/>
        <v>3962.649</v>
      </c>
      <c r="S393" t="str">
        <f t="shared" si="81"/>
        <v>Low</v>
      </c>
      <c r="T393" t="str">
        <f t="shared" si="82"/>
        <v>Low</v>
      </c>
      <c r="U393" t="str">
        <f t="shared" si="83"/>
        <v>Heavy Discount</v>
      </c>
      <c r="V393" t="str">
        <f t="shared" si="84"/>
        <v>Average</v>
      </c>
      <c r="W393">
        <f t="shared" si="85"/>
        <v>99</v>
      </c>
      <c r="X393">
        <f t="shared" si="86"/>
        <v>106</v>
      </c>
      <c r="Y393">
        <f t="shared" si="87"/>
        <v>14</v>
      </c>
      <c r="Z393" t="str">
        <f t="shared" si="88"/>
        <v>Not Eligible</v>
      </c>
      <c r="AA393" t="str">
        <f t="shared" si="89"/>
        <v>Normal Order</v>
      </c>
      <c r="AB393" t="str">
        <f t="shared" si="90"/>
        <v>Online</v>
      </c>
    </row>
    <row r="394" spans="1:28">
      <c r="A394" s="5">
        <v>10393</v>
      </c>
      <c r="B394" s="5">
        <v>1419</v>
      </c>
      <c r="C394" s="6">
        <v>45191</v>
      </c>
      <c r="D394" s="6">
        <v>45191</v>
      </c>
      <c r="E394" s="5" t="s">
        <v>106</v>
      </c>
      <c r="F394" s="5" t="s">
        <v>89</v>
      </c>
      <c r="G394" s="5" t="s">
        <v>90</v>
      </c>
      <c r="H394" s="5" t="s">
        <v>101</v>
      </c>
      <c r="I394" s="5" t="s">
        <v>123</v>
      </c>
      <c r="J394" s="5" t="s">
        <v>135</v>
      </c>
      <c r="K394" s="5" t="s">
        <v>111</v>
      </c>
      <c r="L394" s="5">
        <v>8</v>
      </c>
      <c r="M394" s="5">
        <v>2993.25</v>
      </c>
      <c r="N394" s="5">
        <v>10</v>
      </c>
      <c r="O394" s="5">
        <v>21551.4</v>
      </c>
      <c r="P394">
        <f t="shared" si="78"/>
        <v>23946</v>
      </c>
      <c r="Q394">
        <f t="shared" si="79"/>
        <v>2394.6</v>
      </c>
      <c r="R394">
        <f t="shared" si="80"/>
        <v>21551.4</v>
      </c>
      <c r="S394" t="str">
        <f t="shared" si="81"/>
        <v>High</v>
      </c>
      <c r="T394" t="str">
        <f t="shared" si="82"/>
        <v>High</v>
      </c>
      <c r="U394" t="str">
        <f t="shared" si="83"/>
        <v>Heavy Discount</v>
      </c>
      <c r="V394" t="str">
        <f t="shared" si="84"/>
        <v>Excellent Sales</v>
      </c>
      <c r="W394">
        <f t="shared" si="85"/>
        <v>99</v>
      </c>
      <c r="X394">
        <f t="shared" si="86"/>
        <v>106</v>
      </c>
      <c r="Y394">
        <f t="shared" si="87"/>
        <v>14</v>
      </c>
      <c r="Z394" t="str">
        <f t="shared" si="88"/>
        <v>Not Eligible</v>
      </c>
      <c r="AA394" t="str">
        <f t="shared" si="89"/>
        <v>Prriority Order</v>
      </c>
      <c r="AB394" t="str">
        <f t="shared" si="90"/>
        <v>Online</v>
      </c>
    </row>
    <row r="395" spans="1:28">
      <c r="A395" s="5">
        <v>10394</v>
      </c>
      <c r="B395" s="5">
        <v>1421</v>
      </c>
      <c r="C395" s="6">
        <v>45173</v>
      </c>
      <c r="D395" s="6">
        <v>45173</v>
      </c>
      <c r="E395" s="5" t="s">
        <v>88</v>
      </c>
      <c r="F395" s="5" t="s">
        <v>95</v>
      </c>
      <c r="G395" s="5" t="s">
        <v>83</v>
      </c>
      <c r="H395" s="5" t="s">
        <v>84</v>
      </c>
      <c r="I395" s="5" t="s">
        <v>115</v>
      </c>
      <c r="J395" s="5" t="s">
        <v>116</v>
      </c>
      <c r="K395" s="5" t="s">
        <v>113</v>
      </c>
      <c r="L395" s="5">
        <v>6</v>
      </c>
      <c r="M395" s="5">
        <v>2716.48</v>
      </c>
      <c r="N395" s="5">
        <v>0</v>
      </c>
      <c r="O395" s="5">
        <v>16298.88</v>
      </c>
      <c r="P395">
        <f t="shared" si="78"/>
        <v>16298.88</v>
      </c>
      <c r="Q395">
        <f t="shared" si="79"/>
        <v>0</v>
      </c>
      <c r="R395">
        <f t="shared" si="80"/>
        <v>16298.88</v>
      </c>
      <c r="S395" t="str">
        <f t="shared" si="81"/>
        <v>High</v>
      </c>
      <c r="T395" t="str">
        <f t="shared" si="82"/>
        <v>High</v>
      </c>
      <c r="U395" t="str">
        <f t="shared" si="83"/>
        <v>Normal Discount</v>
      </c>
      <c r="V395" t="str">
        <f t="shared" si="84"/>
        <v>Excellent Sales</v>
      </c>
      <c r="W395">
        <f t="shared" si="85"/>
        <v>99</v>
      </c>
      <c r="X395">
        <f t="shared" si="86"/>
        <v>106</v>
      </c>
      <c r="Y395">
        <f t="shared" si="87"/>
        <v>14</v>
      </c>
      <c r="Z395" t="str">
        <f t="shared" si="88"/>
        <v>Eligible</v>
      </c>
      <c r="AA395" t="str">
        <f t="shared" si="89"/>
        <v>Prriority Order</v>
      </c>
      <c r="AB395" t="str">
        <f t="shared" si="90"/>
        <v>Online</v>
      </c>
    </row>
    <row r="396" spans="1:28">
      <c r="A396" s="5">
        <v>10395</v>
      </c>
      <c r="B396" s="5">
        <v>1103</v>
      </c>
      <c r="C396" s="6">
        <v>45206</v>
      </c>
      <c r="D396" s="6">
        <v>45206</v>
      </c>
      <c r="E396" s="5" t="s">
        <v>82</v>
      </c>
      <c r="F396" s="5" t="s">
        <v>89</v>
      </c>
      <c r="G396" s="5" t="s">
        <v>90</v>
      </c>
      <c r="H396" s="5" t="s">
        <v>110</v>
      </c>
      <c r="I396" s="5" t="s">
        <v>92</v>
      </c>
      <c r="J396" s="5" t="s">
        <v>102</v>
      </c>
      <c r="K396" s="5" t="s">
        <v>111</v>
      </c>
      <c r="L396" s="5">
        <v>2</v>
      </c>
      <c r="M396" s="5">
        <v>610.31</v>
      </c>
      <c r="N396" s="5">
        <v>10</v>
      </c>
      <c r="O396" s="5">
        <v>1098.56</v>
      </c>
      <c r="P396">
        <f t="shared" si="78"/>
        <v>1220.62</v>
      </c>
      <c r="Q396">
        <f t="shared" si="79"/>
        <v>122.062</v>
      </c>
      <c r="R396">
        <f t="shared" si="80"/>
        <v>1098.558</v>
      </c>
      <c r="S396" t="str">
        <f t="shared" si="81"/>
        <v>Low</v>
      </c>
      <c r="T396" t="str">
        <f t="shared" si="82"/>
        <v>Low</v>
      </c>
      <c r="U396" t="str">
        <f t="shared" si="83"/>
        <v>Heavy Discount</v>
      </c>
      <c r="V396" t="str">
        <f t="shared" si="84"/>
        <v>Average</v>
      </c>
      <c r="W396">
        <f t="shared" si="85"/>
        <v>99</v>
      </c>
      <c r="X396">
        <f t="shared" si="86"/>
        <v>106</v>
      </c>
      <c r="Y396">
        <f t="shared" si="87"/>
        <v>13</v>
      </c>
      <c r="Z396" t="str">
        <f t="shared" si="88"/>
        <v>Not Eligible</v>
      </c>
      <c r="AA396" t="str">
        <f t="shared" si="89"/>
        <v>Normal Order</v>
      </c>
      <c r="AB396" t="str">
        <f t="shared" si="90"/>
        <v>Online</v>
      </c>
    </row>
    <row r="397" spans="1:28">
      <c r="A397" s="5">
        <v>10396</v>
      </c>
      <c r="B397" s="5">
        <v>1851</v>
      </c>
      <c r="C397" s="6">
        <v>44966</v>
      </c>
      <c r="D397" s="6">
        <v>44966</v>
      </c>
      <c r="E397" s="5" t="s">
        <v>112</v>
      </c>
      <c r="F397" s="5" t="s">
        <v>82</v>
      </c>
      <c r="G397" s="5" t="s">
        <v>96</v>
      </c>
      <c r="H397" s="5" t="s">
        <v>110</v>
      </c>
      <c r="I397" s="5" t="s">
        <v>115</v>
      </c>
      <c r="J397" s="5" t="s">
        <v>119</v>
      </c>
      <c r="K397" s="5" t="s">
        <v>113</v>
      </c>
      <c r="L397" s="5">
        <v>6</v>
      </c>
      <c r="M397" s="5">
        <v>2354.67</v>
      </c>
      <c r="N397" s="5">
        <v>15</v>
      </c>
      <c r="O397" s="5">
        <v>12008.82</v>
      </c>
      <c r="P397">
        <f t="shared" si="78"/>
        <v>14128.02</v>
      </c>
      <c r="Q397">
        <f t="shared" si="79"/>
        <v>2119.203</v>
      </c>
      <c r="R397">
        <f t="shared" si="80"/>
        <v>12008.817</v>
      </c>
      <c r="S397" t="str">
        <f t="shared" si="81"/>
        <v>High</v>
      </c>
      <c r="T397" t="str">
        <f t="shared" si="82"/>
        <v>High</v>
      </c>
      <c r="U397" t="str">
        <f t="shared" si="83"/>
        <v>Heavy Discount</v>
      </c>
      <c r="V397" t="str">
        <f t="shared" si="84"/>
        <v>Excellent Sales</v>
      </c>
      <c r="W397">
        <f t="shared" si="85"/>
        <v>99</v>
      </c>
      <c r="X397">
        <f t="shared" si="86"/>
        <v>106</v>
      </c>
      <c r="Y397">
        <f t="shared" si="87"/>
        <v>13</v>
      </c>
      <c r="Z397" t="str">
        <f t="shared" si="88"/>
        <v>Not Eligible</v>
      </c>
      <c r="AA397" t="str">
        <f t="shared" si="89"/>
        <v>Prriority Order</v>
      </c>
      <c r="AB397" t="str">
        <f t="shared" si="90"/>
        <v/>
      </c>
    </row>
    <row r="398" spans="1:28">
      <c r="A398" s="5">
        <v>10397</v>
      </c>
      <c r="B398" s="5">
        <v>1253</v>
      </c>
      <c r="C398" s="6">
        <v>45071</v>
      </c>
      <c r="D398" s="6">
        <v>45071</v>
      </c>
      <c r="E398" s="5" t="s">
        <v>88</v>
      </c>
      <c r="F398" s="5" t="s">
        <v>107</v>
      </c>
      <c r="G398" s="5" t="s">
        <v>96</v>
      </c>
      <c r="H398" s="5" t="s">
        <v>84</v>
      </c>
      <c r="I398" s="5" t="s">
        <v>97</v>
      </c>
      <c r="J398" s="5" t="s">
        <v>105</v>
      </c>
      <c r="K398" s="5" t="s">
        <v>111</v>
      </c>
      <c r="L398" s="5">
        <v>7</v>
      </c>
      <c r="M398" s="5">
        <v>1138.46</v>
      </c>
      <c r="N398" s="5">
        <v>10</v>
      </c>
      <c r="O398" s="5">
        <v>7172.3</v>
      </c>
      <c r="P398">
        <f t="shared" si="78"/>
        <v>7969.22</v>
      </c>
      <c r="Q398">
        <f t="shared" si="79"/>
        <v>796.922</v>
      </c>
      <c r="R398">
        <f t="shared" si="80"/>
        <v>7172.298</v>
      </c>
      <c r="S398" t="str">
        <f t="shared" si="81"/>
        <v>High</v>
      </c>
      <c r="T398" t="str">
        <f t="shared" si="82"/>
        <v>High</v>
      </c>
      <c r="U398" t="str">
        <f t="shared" si="83"/>
        <v>Heavy Discount</v>
      </c>
      <c r="V398" t="str">
        <f t="shared" si="84"/>
        <v>Excellent Sales</v>
      </c>
      <c r="W398">
        <f t="shared" si="85"/>
        <v>99</v>
      </c>
      <c r="X398">
        <f t="shared" si="86"/>
        <v>106</v>
      </c>
      <c r="Y398">
        <f t="shared" si="87"/>
        <v>13</v>
      </c>
      <c r="Z398" t="str">
        <f t="shared" si="88"/>
        <v>Not Eligible</v>
      </c>
      <c r="AA398" t="str">
        <f t="shared" si="89"/>
        <v>Prriority Order</v>
      </c>
      <c r="AB398" t="str">
        <f t="shared" si="90"/>
        <v/>
      </c>
    </row>
    <row r="399" spans="1:28">
      <c r="A399" s="5">
        <v>10398</v>
      </c>
      <c r="B399" s="5">
        <v>1226</v>
      </c>
      <c r="C399" s="6">
        <v>44943</v>
      </c>
      <c r="D399" s="6">
        <v>44943</v>
      </c>
      <c r="E399" s="5" t="s">
        <v>88</v>
      </c>
      <c r="F399" s="5" t="s">
        <v>95</v>
      </c>
      <c r="G399" s="5" t="s">
        <v>83</v>
      </c>
      <c r="H399" s="5" t="s">
        <v>110</v>
      </c>
      <c r="I399" s="5" t="s">
        <v>115</v>
      </c>
      <c r="J399" s="5" t="s">
        <v>138</v>
      </c>
      <c r="K399" s="5" t="s">
        <v>99</v>
      </c>
      <c r="L399" s="5">
        <v>5</v>
      </c>
      <c r="M399" s="5">
        <v>3245.77</v>
      </c>
      <c r="N399" s="5">
        <v>0</v>
      </c>
      <c r="O399" s="5">
        <v>16228.85</v>
      </c>
      <c r="P399">
        <f t="shared" si="78"/>
        <v>16228.85</v>
      </c>
      <c r="Q399">
        <f t="shared" si="79"/>
        <v>0</v>
      </c>
      <c r="R399">
        <f t="shared" si="80"/>
        <v>16228.85</v>
      </c>
      <c r="S399" t="str">
        <f t="shared" si="81"/>
        <v>High</v>
      </c>
      <c r="T399" t="str">
        <f t="shared" si="82"/>
        <v>Medium</v>
      </c>
      <c r="U399" t="str">
        <f t="shared" si="83"/>
        <v>Normal Discount</v>
      </c>
      <c r="V399" t="str">
        <f t="shared" si="84"/>
        <v>Excellent Sales</v>
      </c>
      <c r="W399">
        <f t="shared" si="85"/>
        <v>99</v>
      </c>
      <c r="X399">
        <f t="shared" si="86"/>
        <v>106</v>
      </c>
      <c r="Y399">
        <f t="shared" si="87"/>
        <v>13</v>
      </c>
      <c r="Z399" t="str">
        <f t="shared" si="88"/>
        <v>Eligible</v>
      </c>
      <c r="AA399" t="str">
        <f t="shared" si="89"/>
        <v>Prriority Order</v>
      </c>
      <c r="AB399" t="str">
        <f t="shared" si="90"/>
        <v>Online</v>
      </c>
    </row>
    <row r="400" spans="1:28">
      <c r="A400" s="5">
        <v>10399</v>
      </c>
      <c r="B400" s="5">
        <v>1111</v>
      </c>
      <c r="C400" s="6">
        <v>45237</v>
      </c>
      <c r="D400" s="6">
        <v>45237</v>
      </c>
      <c r="E400" s="5" t="s">
        <v>82</v>
      </c>
      <c r="F400" s="5" t="s">
        <v>82</v>
      </c>
      <c r="G400" s="5" t="s">
        <v>90</v>
      </c>
      <c r="H400" s="5" t="s">
        <v>108</v>
      </c>
      <c r="I400" s="5" t="s">
        <v>85</v>
      </c>
      <c r="J400" s="5" t="s">
        <v>109</v>
      </c>
      <c r="K400" s="5" t="s">
        <v>99</v>
      </c>
      <c r="L400" s="5">
        <v>3</v>
      </c>
      <c r="M400" s="5">
        <v>1789.86</v>
      </c>
      <c r="N400" s="5">
        <v>0</v>
      </c>
      <c r="O400" s="5">
        <v>5369.58</v>
      </c>
      <c r="P400">
        <f t="shared" si="78"/>
        <v>5369.58</v>
      </c>
      <c r="Q400">
        <f t="shared" si="79"/>
        <v>0</v>
      </c>
      <c r="R400">
        <f t="shared" si="80"/>
        <v>5369.58</v>
      </c>
      <c r="S400" t="str">
        <f t="shared" si="81"/>
        <v>Low</v>
      </c>
      <c r="T400" t="str">
        <f t="shared" si="82"/>
        <v>Low</v>
      </c>
      <c r="U400" t="str">
        <f t="shared" si="83"/>
        <v>Normal Discount</v>
      </c>
      <c r="V400" t="str">
        <f t="shared" si="84"/>
        <v>Good</v>
      </c>
      <c r="W400">
        <f t="shared" si="85"/>
        <v>99</v>
      </c>
      <c r="X400">
        <f t="shared" si="86"/>
        <v>106</v>
      </c>
      <c r="Y400">
        <f t="shared" si="87"/>
        <v>12</v>
      </c>
      <c r="Z400" t="str">
        <f t="shared" si="88"/>
        <v>Eligible</v>
      </c>
      <c r="AA400" t="str">
        <f t="shared" si="89"/>
        <v>Normal Order</v>
      </c>
      <c r="AB400" t="str">
        <f t="shared" si="90"/>
        <v>Online</v>
      </c>
    </row>
    <row r="401" spans="1:28">
      <c r="A401" s="5">
        <v>10400</v>
      </c>
      <c r="B401" s="5">
        <v>1509</v>
      </c>
      <c r="C401" s="6">
        <v>44943</v>
      </c>
      <c r="D401" s="6">
        <v>44943</v>
      </c>
      <c r="E401" s="5" t="s">
        <v>100</v>
      </c>
      <c r="F401" s="5" t="s">
        <v>95</v>
      </c>
      <c r="G401" s="5" t="s">
        <v>96</v>
      </c>
      <c r="H401" s="5" t="s">
        <v>101</v>
      </c>
      <c r="I401" s="5" t="s">
        <v>123</v>
      </c>
      <c r="J401" s="5" t="s">
        <v>135</v>
      </c>
      <c r="K401" s="5" t="s">
        <v>87</v>
      </c>
      <c r="L401" s="5">
        <v>4</v>
      </c>
      <c r="M401" s="5">
        <v>3979.53</v>
      </c>
      <c r="N401" s="5">
        <v>10</v>
      </c>
      <c r="O401" s="5">
        <v>14326.31</v>
      </c>
      <c r="P401">
        <f t="shared" si="78"/>
        <v>15918.12</v>
      </c>
      <c r="Q401">
        <f t="shared" si="79"/>
        <v>1591.812</v>
      </c>
      <c r="R401">
        <f t="shared" si="80"/>
        <v>14326.308</v>
      </c>
      <c r="S401" t="str">
        <f t="shared" si="81"/>
        <v>Low</v>
      </c>
      <c r="T401" t="str">
        <f t="shared" si="82"/>
        <v>Low</v>
      </c>
      <c r="U401" t="str">
        <f t="shared" si="83"/>
        <v>Heavy Discount</v>
      </c>
      <c r="V401" t="str">
        <f t="shared" si="84"/>
        <v>Excellent Sales</v>
      </c>
      <c r="W401">
        <f t="shared" si="85"/>
        <v>99</v>
      </c>
      <c r="X401">
        <f t="shared" si="86"/>
        <v>106</v>
      </c>
      <c r="Y401">
        <f t="shared" si="87"/>
        <v>12</v>
      </c>
      <c r="Z401" t="str">
        <f t="shared" si="88"/>
        <v>Not Eligible</v>
      </c>
      <c r="AA401" t="str">
        <f t="shared" si="89"/>
        <v>Prriority Order</v>
      </c>
      <c r="AB401" t="str">
        <f t="shared" si="90"/>
        <v/>
      </c>
    </row>
    <row r="402" spans="1:28">
      <c r="A402" s="5">
        <v>10401</v>
      </c>
      <c r="B402" s="5">
        <v>1472</v>
      </c>
      <c r="C402" s="6">
        <v>45059</v>
      </c>
      <c r="D402" s="6">
        <v>45059</v>
      </c>
      <c r="E402" s="5" t="s">
        <v>82</v>
      </c>
      <c r="F402" s="5" t="s">
        <v>95</v>
      </c>
      <c r="G402" s="5" t="s">
        <v>90</v>
      </c>
      <c r="H402" s="5" t="s">
        <v>101</v>
      </c>
      <c r="I402" s="5" t="s">
        <v>97</v>
      </c>
      <c r="J402" s="5" t="s">
        <v>114</v>
      </c>
      <c r="K402" s="5" t="s">
        <v>111</v>
      </c>
      <c r="L402" s="5">
        <v>4</v>
      </c>
      <c r="M402" s="5">
        <v>506.13</v>
      </c>
      <c r="N402" s="5">
        <v>5</v>
      </c>
      <c r="O402" s="5">
        <v>1923.29</v>
      </c>
      <c r="P402">
        <f t="shared" si="78"/>
        <v>2024.52</v>
      </c>
      <c r="Q402">
        <f t="shared" si="79"/>
        <v>101.226</v>
      </c>
      <c r="R402">
        <f t="shared" si="80"/>
        <v>1923.294</v>
      </c>
      <c r="S402" t="str">
        <f t="shared" si="81"/>
        <v>Low</v>
      </c>
      <c r="T402" t="str">
        <f t="shared" si="82"/>
        <v>Low</v>
      </c>
      <c r="U402" t="str">
        <f t="shared" si="83"/>
        <v>Heavy Discount</v>
      </c>
      <c r="V402" t="str">
        <f t="shared" si="84"/>
        <v>Average</v>
      </c>
      <c r="W402">
        <f t="shared" si="85"/>
        <v>99</v>
      </c>
      <c r="X402">
        <f t="shared" si="86"/>
        <v>106</v>
      </c>
      <c r="Y402">
        <f t="shared" si="87"/>
        <v>12</v>
      </c>
      <c r="Z402" t="str">
        <f t="shared" si="88"/>
        <v>Not Eligible</v>
      </c>
      <c r="AA402" t="str">
        <f t="shared" si="89"/>
        <v>Normal Order</v>
      </c>
      <c r="AB402" t="str">
        <f t="shared" si="90"/>
        <v>Online</v>
      </c>
    </row>
    <row r="403" spans="1:28">
      <c r="A403" s="5">
        <v>10402</v>
      </c>
      <c r="B403" s="5">
        <v>1098</v>
      </c>
      <c r="C403" s="6">
        <v>44992</v>
      </c>
      <c r="D403" s="6">
        <v>44992</v>
      </c>
      <c r="E403" s="5" t="s">
        <v>106</v>
      </c>
      <c r="F403" s="5" t="s">
        <v>82</v>
      </c>
      <c r="G403" s="5" t="s">
        <v>90</v>
      </c>
      <c r="H403" s="5" t="s">
        <v>84</v>
      </c>
      <c r="I403" s="5" t="s">
        <v>115</v>
      </c>
      <c r="J403" s="5" t="s">
        <v>119</v>
      </c>
      <c r="K403" s="5" t="s">
        <v>94</v>
      </c>
      <c r="L403" s="5">
        <v>6</v>
      </c>
      <c r="M403" s="5">
        <v>3154.34</v>
      </c>
      <c r="N403" s="5">
        <v>15</v>
      </c>
      <c r="O403" s="5">
        <v>16087.13</v>
      </c>
      <c r="P403">
        <f t="shared" si="78"/>
        <v>18926.04</v>
      </c>
      <c r="Q403">
        <f t="shared" si="79"/>
        <v>2838.906</v>
      </c>
      <c r="R403">
        <f t="shared" si="80"/>
        <v>16087.134</v>
      </c>
      <c r="S403" t="str">
        <f t="shared" si="81"/>
        <v>High</v>
      </c>
      <c r="T403" t="str">
        <f t="shared" si="82"/>
        <v>High</v>
      </c>
      <c r="U403" t="str">
        <f t="shared" si="83"/>
        <v>Heavy Discount</v>
      </c>
      <c r="V403" t="str">
        <f t="shared" si="84"/>
        <v>Excellent Sales</v>
      </c>
      <c r="W403">
        <f t="shared" si="85"/>
        <v>99</v>
      </c>
      <c r="X403">
        <f t="shared" si="86"/>
        <v>106</v>
      </c>
      <c r="Y403">
        <f t="shared" si="87"/>
        <v>12</v>
      </c>
      <c r="Z403" t="str">
        <f t="shared" si="88"/>
        <v>Not Eligible</v>
      </c>
      <c r="AA403" t="str">
        <f t="shared" si="89"/>
        <v>Prriority Order</v>
      </c>
      <c r="AB403" t="str">
        <f t="shared" si="90"/>
        <v>Online</v>
      </c>
    </row>
    <row r="404" spans="1:28">
      <c r="A404" s="5">
        <v>10403</v>
      </c>
      <c r="B404" s="5">
        <v>1152</v>
      </c>
      <c r="C404" s="6">
        <v>45037</v>
      </c>
      <c r="D404" s="6">
        <v>45037</v>
      </c>
      <c r="E404" s="5" t="s">
        <v>82</v>
      </c>
      <c r="F404" s="5" t="s">
        <v>104</v>
      </c>
      <c r="G404" s="5" t="s">
        <v>90</v>
      </c>
      <c r="H404" s="5" t="s">
        <v>110</v>
      </c>
      <c r="I404" s="5" t="s">
        <v>92</v>
      </c>
      <c r="J404" s="5" t="s">
        <v>102</v>
      </c>
      <c r="K404" s="5" t="s">
        <v>87</v>
      </c>
      <c r="L404" s="5">
        <v>1</v>
      </c>
      <c r="M404" s="5">
        <v>2743.75</v>
      </c>
      <c r="N404" s="5">
        <v>15</v>
      </c>
      <c r="O404" s="5">
        <v>2332.19</v>
      </c>
      <c r="P404">
        <f t="shared" si="78"/>
        <v>2743.75</v>
      </c>
      <c r="Q404">
        <f t="shared" si="79"/>
        <v>411.5625</v>
      </c>
      <c r="R404">
        <f t="shared" si="80"/>
        <v>2332.1875</v>
      </c>
      <c r="S404" t="str">
        <f t="shared" si="81"/>
        <v>Low</v>
      </c>
      <c r="T404" t="str">
        <f t="shared" si="82"/>
        <v>Low</v>
      </c>
      <c r="U404" t="str">
        <f t="shared" si="83"/>
        <v>Heavy Discount</v>
      </c>
      <c r="V404" t="str">
        <f t="shared" si="84"/>
        <v>Average</v>
      </c>
      <c r="W404">
        <f t="shared" si="85"/>
        <v>99</v>
      </c>
      <c r="X404">
        <f t="shared" si="86"/>
        <v>106</v>
      </c>
      <c r="Y404">
        <f t="shared" si="87"/>
        <v>11</v>
      </c>
      <c r="Z404" t="str">
        <f t="shared" si="88"/>
        <v>Not Eligible</v>
      </c>
      <c r="AA404" t="str">
        <f t="shared" si="89"/>
        <v>Normal Order</v>
      </c>
      <c r="AB404" t="str">
        <f t="shared" si="90"/>
        <v>Online</v>
      </c>
    </row>
    <row r="405" spans="1:28">
      <c r="A405" s="5">
        <v>10404</v>
      </c>
      <c r="B405" s="5">
        <v>1860</v>
      </c>
      <c r="C405" s="6">
        <v>44955</v>
      </c>
      <c r="D405" s="6">
        <v>44955</v>
      </c>
      <c r="E405" s="5" t="s">
        <v>82</v>
      </c>
      <c r="F405" s="5" t="s">
        <v>127</v>
      </c>
      <c r="G405" s="5" t="s">
        <v>83</v>
      </c>
      <c r="H405" s="5" t="s">
        <v>91</v>
      </c>
      <c r="I405" s="5" t="s">
        <v>85</v>
      </c>
      <c r="J405" s="5" t="s">
        <v>141</v>
      </c>
      <c r="K405" s="5" t="s">
        <v>111</v>
      </c>
      <c r="L405" s="5">
        <v>4</v>
      </c>
      <c r="M405" s="5">
        <v>3104.87</v>
      </c>
      <c r="N405" s="5">
        <v>10</v>
      </c>
      <c r="O405" s="5">
        <v>11177.53</v>
      </c>
      <c r="P405">
        <f t="shared" si="78"/>
        <v>12419.48</v>
      </c>
      <c r="Q405">
        <f t="shared" si="79"/>
        <v>1241.948</v>
      </c>
      <c r="R405">
        <f t="shared" si="80"/>
        <v>11177.532</v>
      </c>
      <c r="S405" t="str">
        <f t="shared" si="81"/>
        <v>Low</v>
      </c>
      <c r="T405" t="str">
        <f t="shared" si="82"/>
        <v>Low</v>
      </c>
      <c r="U405" t="str">
        <f t="shared" si="83"/>
        <v>Heavy Discount</v>
      </c>
      <c r="V405" t="str">
        <f t="shared" si="84"/>
        <v>Excellent Sales</v>
      </c>
      <c r="W405">
        <f t="shared" si="85"/>
        <v>99</v>
      </c>
      <c r="X405">
        <f t="shared" si="86"/>
        <v>106</v>
      </c>
      <c r="Y405">
        <f t="shared" si="87"/>
        <v>11</v>
      </c>
      <c r="Z405" t="str">
        <f t="shared" si="88"/>
        <v>Not Eligible</v>
      </c>
      <c r="AA405" t="str">
        <f t="shared" si="89"/>
        <v>Prriority Order</v>
      </c>
      <c r="AB405" t="str">
        <f t="shared" si="90"/>
        <v>Online</v>
      </c>
    </row>
    <row r="406" spans="1:28">
      <c r="A406" s="5">
        <v>10405</v>
      </c>
      <c r="B406" s="5">
        <v>1913</v>
      </c>
      <c r="C406" s="6">
        <v>45091</v>
      </c>
      <c r="D406" s="6">
        <v>45091</v>
      </c>
      <c r="E406" s="5" t="s">
        <v>112</v>
      </c>
      <c r="F406" s="5" t="s">
        <v>89</v>
      </c>
      <c r="G406" s="5" t="s">
        <v>90</v>
      </c>
      <c r="H406" s="5" t="s">
        <v>91</v>
      </c>
      <c r="I406" s="5" t="s">
        <v>85</v>
      </c>
      <c r="J406" s="5" t="s">
        <v>141</v>
      </c>
      <c r="K406" s="5" t="s">
        <v>111</v>
      </c>
      <c r="L406" s="5">
        <v>4</v>
      </c>
      <c r="M406" s="5">
        <v>1333.99</v>
      </c>
      <c r="N406" s="5">
        <v>5</v>
      </c>
      <c r="O406" s="5">
        <v>5069.16</v>
      </c>
      <c r="P406">
        <f t="shared" si="78"/>
        <v>5335.96</v>
      </c>
      <c r="Q406">
        <f t="shared" si="79"/>
        <v>266.798</v>
      </c>
      <c r="R406">
        <f t="shared" si="80"/>
        <v>5069.162</v>
      </c>
      <c r="S406" t="str">
        <f t="shared" si="81"/>
        <v>Low</v>
      </c>
      <c r="T406" t="str">
        <f t="shared" si="82"/>
        <v>Low</v>
      </c>
      <c r="U406" t="str">
        <f t="shared" si="83"/>
        <v>Heavy Discount</v>
      </c>
      <c r="V406" t="str">
        <f t="shared" si="84"/>
        <v>Good</v>
      </c>
      <c r="W406">
        <f t="shared" si="85"/>
        <v>99</v>
      </c>
      <c r="X406">
        <f t="shared" si="86"/>
        <v>106</v>
      </c>
      <c r="Y406">
        <f t="shared" si="87"/>
        <v>11</v>
      </c>
      <c r="Z406" t="str">
        <f t="shared" si="88"/>
        <v>Not Eligible</v>
      </c>
      <c r="AA406" t="str">
        <f t="shared" si="89"/>
        <v>Normal Order</v>
      </c>
      <c r="AB406" t="str">
        <f t="shared" si="90"/>
        <v>Online</v>
      </c>
    </row>
    <row r="407" spans="1:28">
      <c r="A407" s="5">
        <v>10406</v>
      </c>
      <c r="B407" s="5">
        <v>1895</v>
      </c>
      <c r="C407" s="6">
        <v>45204</v>
      </c>
      <c r="D407" s="6">
        <v>45204</v>
      </c>
      <c r="E407" s="5" t="s">
        <v>82</v>
      </c>
      <c r="F407" s="5" t="s">
        <v>95</v>
      </c>
      <c r="G407" s="5" t="s">
        <v>96</v>
      </c>
      <c r="H407" s="5" t="s">
        <v>110</v>
      </c>
      <c r="I407" s="5" t="s">
        <v>115</v>
      </c>
      <c r="J407" s="5" t="s">
        <v>119</v>
      </c>
      <c r="K407" s="5" t="s">
        <v>87</v>
      </c>
      <c r="L407" s="5">
        <v>1</v>
      </c>
      <c r="M407" s="5">
        <v>2044.41</v>
      </c>
      <c r="N407" s="5">
        <v>0</v>
      </c>
      <c r="O407" s="5">
        <v>2044.41</v>
      </c>
      <c r="P407">
        <f t="shared" si="78"/>
        <v>2044.41</v>
      </c>
      <c r="Q407">
        <f t="shared" si="79"/>
        <v>0</v>
      </c>
      <c r="R407">
        <f t="shared" si="80"/>
        <v>2044.41</v>
      </c>
      <c r="S407" t="str">
        <f t="shared" si="81"/>
        <v>Low</v>
      </c>
      <c r="T407" t="str">
        <f t="shared" si="82"/>
        <v>Low</v>
      </c>
      <c r="U407" t="str">
        <f t="shared" si="83"/>
        <v>Normal Discount</v>
      </c>
      <c r="V407" t="str">
        <f t="shared" si="84"/>
        <v>Average</v>
      </c>
      <c r="W407">
        <f t="shared" si="85"/>
        <v>99</v>
      </c>
      <c r="X407">
        <f t="shared" si="86"/>
        <v>106</v>
      </c>
      <c r="Y407">
        <f t="shared" si="87"/>
        <v>11</v>
      </c>
      <c r="Z407" t="str">
        <f t="shared" si="88"/>
        <v>Eligible</v>
      </c>
      <c r="AA407" t="str">
        <f t="shared" si="89"/>
        <v>Normal Order</v>
      </c>
      <c r="AB407" t="str">
        <f t="shared" si="90"/>
        <v/>
      </c>
    </row>
    <row r="408" spans="1:28">
      <c r="A408" s="5">
        <v>10407</v>
      </c>
      <c r="B408" s="5">
        <v>1877</v>
      </c>
      <c r="C408" s="6">
        <v>45090</v>
      </c>
      <c r="D408" s="6">
        <v>45090</v>
      </c>
      <c r="E408" s="5" t="s">
        <v>88</v>
      </c>
      <c r="F408" s="5" t="s">
        <v>89</v>
      </c>
      <c r="G408" s="5" t="s">
        <v>90</v>
      </c>
      <c r="H408" s="5" t="s">
        <v>91</v>
      </c>
      <c r="I408" s="5" t="s">
        <v>123</v>
      </c>
      <c r="J408" s="5" t="s">
        <v>124</v>
      </c>
      <c r="K408" s="5" t="s">
        <v>99</v>
      </c>
      <c r="L408" s="5">
        <v>9</v>
      </c>
      <c r="M408" s="5">
        <v>3216.56</v>
      </c>
      <c r="N408" s="5">
        <v>20</v>
      </c>
      <c r="O408" s="5">
        <v>23159.23</v>
      </c>
      <c r="P408">
        <f t="shared" si="78"/>
        <v>28949.04</v>
      </c>
      <c r="Q408">
        <f t="shared" si="79"/>
        <v>5789.808</v>
      </c>
      <c r="R408">
        <f t="shared" si="80"/>
        <v>23159.232</v>
      </c>
      <c r="S408" t="str">
        <f t="shared" si="81"/>
        <v>High</v>
      </c>
      <c r="T408" t="str">
        <f t="shared" si="82"/>
        <v>High</v>
      </c>
      <c r="U408" t="str">
        <f t="shared" si="83"/>
        <v>Heavy Discount</v>
      </c>
      <c r="V408" t="str">
        <f t="shared" si="84"/>
        <v>Excellent Sales</v>
      </c>
      <c r="W408">
        <f t="shared" si="85"/>
        <v>99</v>
      </c>
      <c r="X408">
        <f t="shared" si="86"/>
        <v>106</v>
      </c>
      <c r="Y408">
        <f t="shared" si="87"/>
        <v>11</v>
      </c>
      <c r="Z408" t="str">
        <f t="shared" si="88"/>
        <v>Not Eligible</v>
      </c>
      <c r="AA408" t="str">
        <f t="shared" si="89"/>
        <v>Prriority Order</v>
      </c>
      <c r="AB408" t="str">
        <f t="shared" si="90"/>
        <v>Online</v>
      </c>
    </row>
    <row r="409" spans="1:28">
      <c r="A409" s="5">
        <v>10408</v>
      </c>
      <c r="B409" s="5">
        <v>1337</v>
      </c>
      <c r="C409" s="6">
        <v>45190</v>
      </c>
      <c r="D409" s="6">
        <v>45190</v>
      </c>
      <c r="E409" s="5" t="s">
        <v>112</v>
      </c>
      <c r="F409" s="5" t="s">
        <v>107</v>
      </c>
      <c r="G409" s="5" t="s">
        <v>96</v>
      </c>
      <c r="H409" s="5" t="s">
        <v>84</v>
      </c>
      <c r="I409" s="5" t="s">
        <v>115</v>
      </c>
      <c r="J409" s="5" t="s">
        <v>138</v>
      </c>
      <c r="K409" s="5" t="s">
        <v>111</v>
      </c>
      <c r="L409" s="5">
        <v>4</v>
      </c>
      <c r="M409" s="5">
        <v>1045.28</v>
      </c>
      <c r="N409" s="5">
        <v>20</v>
      </c>
      <c r="O409" s="5">
        <v>3344.9</v>
      </c>
      <c r="P409">
        <f t="shared" si="78"/>
        <v>4181.12</v>
      </c>
      <c r="Q409">
        <f t="shared" si="79"/>
        <v>836.224</v>
      </c>
      <c r="R409">
        <f t="shared" si="80"/>
        <v>3344.896</v>
      </c>
      <c r="S409" t="str">
        <f t="shared" si="81"/>
        <v>Low</v>
      </c>
      <c r="T409" t="str">
        <f t="shared" si="82"/>
        <v>Low</v>
      </c>
      <c r="U409" t="str">
        <f t="shared" si="83"/>
        <v>Heavy Discount</v>
      </c>
      <c r="V409" t="str">
        <f t="shared" si="84"/>
        <v>Average</v>
      </c>
      <c r="W409">
        <f t="shared" si="85"/>
        <v>99</v>
      </c>
      <c r="X409">
        <f t="shared" si="86"/>
        <v>106</v>
      </c>
      <c r="Y409">
        <f t="shared" si="87"/>
        <v>11</v>
      </c>
      <c r="Z409" t="str">
        <f t="shared" si="88"/>
        <v>Not Eligible</v>
      </c>
      <c r="AA409" t="str">
        <f t="shared" si="89"/>
        <v>Normal Order</v>
      </c>
      <c r="AB409" t="str">
        <f t="shared" si="90"/>
        <v/>
      </c>
    </row>
    <row r="410" spans="1:28">
      <c r="A410" s="5">
        <v>10409</v>
      </c>
      <c r="B410" s="5">
        <v>1705</v>
      </c>
      <c r="C410" s="6">
        <v>45034</v>
      </c>
      <c r="D410" s="6">
        <v>45034</v>
      </c>
      <c r="E410" s="5" t="s">
        <v>103</v>
      </c>
      <c r="F410" s="5" t="s">
        <v>82</v>
      </c>
      <c r="G410" s="5" t="s">
        <v>90</v>
      </c>
      <c r="H410" s="5" t="s">
        <v>84</v>
      </c>
      <c r="I410" s="5" t="s">
        <v>97</v>
      </c>
      <c r="J410" s="5" t="s">
        <v>105</v>
      </c>
      <c r="K410" s="5" t="s">
        <v>99</v>
      </c>
      <c r="L410" s="5">
        <v>7</v>
      </c>
      <c r="M410" s="5">
        <v>1020.23</v>
      </c>
      <c r="N410" s="5">
        <v>10</v>
      </c>
      <c r="O410" s="5">
        <v>6427.45</v>
      </c>
      <c r="P410">
        <f t="shared" si="78"/>
        <v>7141.61</v>
      </c>
      <c r="Q410">
        <f t="shared" si="79"/>
        <v>714.161</v>
      </c>
      <c r="R410">
        <f t="shared" si="80"/>
        <v>6427.449</v>
      </c>
      <c r="S410" t="str">
        <f t="shared" si="81"/>
        <v>High</v>
      </c>
      <c r="T410" t="str">
        <f t="shared" si="82"/>
        <v>High</v>
      </c>
      <c r="U410" t="str">
        <f t="shared" si="83"/>
        <v>Heavy Discount</v>
      </c>
      <c r="V410" t="str">
        <f t="shared" si="84"/>
        <v>Good</v>
      </c>
      <c r="W410">
        <f t="shared" si="85"/>
        <v>99</v>
      </c>
      <c r="X410">
        <f t="shared" si="86"/>
        <v>106</v>
      </c>
      <c r="Y410">
        <f t="shared" si="87"/>
        <v>11</v>
      </c>
      <c r="Z410" t="str">
        <f t="shared" si="88"/>
        <v>Not Eligible</v>
      </c>
      <c r="AA410" t="str">
        <f t="shared" si="89"/>
        <v>Prriority Order</v>
      </c>
      <c r="AB410" t="str">
        <f t="shared" si="90"/>
        <v>Online</v>
      </c>
    </row>
    <row r="411" spans="1:28">
      <c r="A411" s="5">
        <v>10410</v>
      </c>
      <c r="B411" s="5">
        <v>1821</v>
      </c>
      <c r="C411" s="6">
        <v>45152</v>
      </c>
      <c r="D411" s="6">
        <v>45152</v>
      </c>
      <c r="E411" s="5" t="s">
        <v>100</v>
      </c>
      <c r="F411" s="5" t="s">
        <v>89</v>
      </c>
      <c r="G411" s="5" t="s">
        <v>96</v>
      </c>
      <c r="H411" s="5" t="s">
        <v>110</v>
      </c>
      <c r="I411" s="5" t="s">
        <v>115</v>
      </c>
      <c r="J411" s="5" t="s">
        <v>116</v>
      </c>
      <c r="K411" s="5" t="s">
        <v>87</v>
      </c>
      <c r="L411" s="5">
        <v>3</v>
      </c>
      <c r="M411" s="5">
        <v>2271.55</v>
      </c>
      <c r="N411" s="5">
        <v>5</v>
      </c>
      <c r="O411" s="5">
        <v>6473.92</v>
      </c>
      <c r="P411">
        <f t="shared" si="78"/>
        <v>6814.65</v>
      </c>
      <c r="Q411">
        <f t="shared" si="79"/>
        <v>340.7325</v>
      </c>
      <c r="R411">
        <f t="shared" si="80"/>
        <v>6473.9175</v>
      </c>
      <c r="S411" t="str">
        <f t="shared" si="81"/>
        <v>Low</v>
      </c>
      <c r="T411" t="str">
        <f t="shared" si="82"/>
        <v>Low</v>
      </c>
      <c r="U411" t="str">
        <f t="shared" si="83"/>
        <v>Heavy Discount</v>
      </c>
      <c r="V411" t="str">
        <f t="shared" si="84"/>
        <v>Good</v>
      </c>
      <c r="W411">
        <f t="shared" si="85"/>
        <v>99</v>
      </c>
      <c r="X411">
        <f t="shared" si="86"/>
        <v>106</v>
      </c>
      <c r="Y411">
        <f t="shared" si="87"/>
        <v>11</v>
      </c>
      <c r="Z411" t="str">
        <f t="shared" si="88"/>
        <v>Not Eligible</v>
      </c>
      <c r="AA411" t="str">
        <f t="shared" si="89"/>
        <v>Normal Order</v>
      </c>
      <c r="AB411" t="str">
        <f t="shared" si="90"/>
        <v/>
      </c>
    </row>
    <row r="412" spans="1:28">
      <c r="A412" s="5">
        <v>10411</v>
      </c>
      <c r="B412" s="5">
        <v>1162</v>
      </c>
      <c r="C412" s="6">
        <v>44993</v>
      </c>
      <c r="D412" s="6">
        <v>44993</v>
      </c>
      <c r="E412" s="5" t="s">
        <v>112</v>
      </c>
      <c r="F412" s="5" t="s">
        <v>82</v>
      </c>
      <c r="G412" s="5" t="s">
        <v>96</v>
      </c>
      <c r="H412" s="5" t="s">
        <v>91</v>
      </c>
      <c r="I412" s="5" t="s">
        <v>85</v>
      </c>
      <c r="J412" s="5" t="s">
        <v>109</v>
      </c>
      <c r="K412" s="5" t="s">
        <v>99</v>
      </c>
      <c r="L412" s="5">
        <v>3</v>
      </c>
      <c r="M412" s="5">
        <v>2165.72</v>
      </c>
      <c r="N412" s="5">
        <v>5</v>
      </c>
      <c r="O412" s="5">
        <v>6172.3</v>
      </c>
      <c r="P412">
        <f t="shared" si="78"/>
        <v>6497.16</v>
      </c>
      <c r="Q412">
        <f t="shared" si="79"/>
        <v>324.858</v>
      </c>
      <c r="R412">
        <f t="shared" si="80"/>
        <v>6172.302</v>
      </c>
      <c r="S412" t="str">
        <f t="shared" si="81"/>
        <v>Low</v>
      </c>
      <c r="T412" t="str">
        <f t="shared" si="82"/>
        <v>Low</v>
      </c>
      <c r="U412" t="str">
        <f t="shared" si="83"/>
        <v>Heavy Discount</v>
      </c>
      <c r="V412" t="str">
        <f t="shared" si="84"/>
        <v>Good</v>
      </c>
      <c r="W412">
        <f t="shared" si="85"/>
        <v>99</v>
      </c>
      <c r="X412">
        <f t="shared" si="86"/>
        <v>106</v>
      </c>
      <c r="Y412">
        <f t="shared" si="87"/>
        <v>11</v>
      </c>
      <c r="Z412" t="str">
        <f t="shared" si="88"/>
        <v>Not Eligible</v>
      </c>
      <c r="AA412" t="str">
        <f t="shared" si="89"/>
        <v>Normal Order</v>
      </c>
      <c r="AB412" t="str">
        <f t="shared" si="90"/>
        <v/>
      </c>
    </row>
    <row r="413" spans="1:28">
      <c r="A413" s="5">
        <v>10412</v>
      </c>
      <c r="B413" s="5">
        <v>1719</v>
      </c>
      <c r="C413" s="6">
        <v>45176</v>
      </c>
      <c r="D413" s="6">
        <v>45176</v>
      </c>
      <c r="E413" s="5" t="s">
        <v>106</v>
      </c>
      <c r="F413" s="5" t="s">
        <v>89</v>
      </c>
      <c r="G413" s="5" t="s">
        <v>90</v>
      </c>
      <c r="H413" s="5" t="s">
        <v>84</v>
      </c>
      <c r="I413" s="5" t="s">
        <v>115</v>
      </c>
      <c r="J413" s="5" t="s">
        <v>138</v>
      </c>
      <c r="K413" s="5" t="s">
        <v>113</v>
      </c>
      <c r="L413" s="5">
        <v>8</v>
      </c>
      <c r="M413" s="5">
        <v>1236.71</v>
      </c>
      <c r="N413" s="5">
        <v>15</v>
      </c>
      <c r="O413" s="5">
        <v>8409.63</v>
      </c>
      <c r="P413">
        <f t="shared" si="78"/>
        <v>9893.68</v>
      </c>
      <c r="Q413">
        <f t="shared" si="79"/>
        <v>1484.052</v>
      </c>
      <c r="R413">
        <f t="shared" si="80"/>
        <v>8409.628</v>
      </c>
      <c r="S413" t="str">
        <f t="shared" si="81"/>
        <v>High</v>
      </c>
      <c r="T413" t="str">
        <f t="shared" si="82"/>
        <v>High</v>
      </c>
      <c r="U413" t="str">
        <f t="shared" si="83"/>
        <v>Heavy Discount</v>
      </c>
      <c r="V413" t="str">
        <f t="shared" si="84"/>
        <v>Excellent Sales</v>
      </c>
      <c r="W413">
        <f t="shared" si="85"/>
        <v>99</v>
      </c>
      <c r="X413">
        <f t="shared" si="86"/>
        <v>106</v>
      </c>
      <c r="Y413">
        <f t="shared" si="87"/>
        <v>11</v>
      </c>
      <c r="Z413" t="str">
        <f t="shared" si="88"/>
        <v>Not Eligible</v>
      </c>
      <c r="AA413" t="str">
        <f t="shared" si="89"/>
        <v>Prriority Order</v>
      </c>
      <c r="AB413" t="str">
        <f t="shared" si="90"/>
        <v>Online</v>
      </c>
    </row>
    <row r="414" spans="1:28">
      <c r="A414" s="5">
        <v>10413</v>
      </c>
      <c r="B414" s="5">
        <v>1956</v>
      </c>
      <c r="C414" s="6">
        <v>45056</v>
      </c>
      <c r="D414" s="6">
        <v>45056</v>
      </c>
      <c r="E414" s="5" t="s">
        <v>103</v>
      </c>
      <c r="F414" s="5" t="s">
        <v>127</v>
      </c>
      <c r="G414" s="5" t="s">
        <v>90</v>
      </c>
      <c r="H414" s="5" t="s">
        <v>84</v>
      </c>
      <c r="I414" s="5" t="s">
        <v>123</v>
      </c>
      <c r="J414" s="5" t="s">
        <v>124</v>
      </c>
      <c r="K414" s="5" t="s">
        <v>94</v>
      </c>
      <c r="L414" s="5">
        <v>8</v>
      </c>
      <c r="M414" s="5">
        <v>1297.59</v>
      </c>
      <c r="N414" s="5">
        <v>0</v>
      </c>
      <c r="O414" s="5">
        <v>10380.72</v>
      </c>
      <c r="P414">
        <f t="shared" si="78"/>
        <v>10380.72</v>
      </c>
      <c r="Q414">
        <f t="shared" si="79"/>
        <v>0</v>
      </c>
      <c r="R414">
        <f t="shared" si="80"/>
        <v>10380.72</v>
      </c>
      <c r="S414" t="str">
        <f t="shared" si="81"/>
        <v>High</v>
      </c>
      <c r="T414" t="str">
        <f t="shared" si="82"/>
        <v>High</v>
      </c>
      <c r="U414" t="str">
        <f t="shared" si="83"/>
        <v>Normal Discount</v>
      </c>
      <c r="V414" t="str">
        <f t="shared" si="84"/>
        <v>Excellent Sales</v>
      </c>
      <c r="W414">
        <f t="shared" si="85"/>
        <v>99</v>
      </c>
      <c r="X414">
        <f t="shared" si="86"/>
        <v>106</v>
      </c>
      <c r="Y414">
        <f t="shared" si="87"/>
        <v>10</v>
      </c>
      <c r="Z414" t="str">
        <f t="shared" si="88"/>
        <v>Eligible</v>
      </c>
      <c r="AA414" t="str">
        <f t="shared" si="89"/>
        <v>Prriority Order</v>
      </c>
      <c r="AB414" t="str">
        <f t="shared" si="90"/>
        <v>Online</v>
      </c>
    </row>
    <row r="415" spans="1:28">
      <c r="A415" s="5">
        <v>10414</v>
      </c>
      <c r="B415" s="5">
        <v>1680</v>
      </c>
      <c r="C415" s="6">
        <v>45212</v>
      </c>
      <c r="D415" s="6">
        <v>45212</v>
      </c>
      <c r="E415" s="5" t="s">
        <v>112</v>
      </c>
      <c r="F415" s="5" t="s">
        <v>127</v>
      </c>
      <c r="G415" s="5" t="s">
        <v>96</v>
      </c>
      <c r="H415" s="5" t="s">
        <v>108</v>
      </c>
      <c r="I415" s="5" t="s">
        <v>92</v>
      </c>
      <c r="J415" s="5" t="s">
        <v>102</v>
      </c>
      <c r="K415" s="5" t="s">
        <v>111</v>
      </c>
      <c r="L415" s="5">
        <v>1</v>
      </c>
      <c r="M415" s="5">
        <v>1219.7</v>
      </c>
      <c r="N415" s="5">
        <v>5</v>
      </c>
      <c r="O415" s="5">
        <v>1158.71</v>
      </c>
      <c r="P415">
        <f t="shared" si="78"/>
        <v>1219.7</v>
      </c>
      <c r="Q415">
        <f t="shared" si="79"/>
        <v>60.985</v>
      </c>
      <c r="R415">
        <f t="shared" si="80"/>
        <v>1158.715</v>
      </c>
      <c r="S415" t="str">
        <f t="shared" si="81"/>
        <v>Low</v>
      </c>
      <c r="T415" t="str">
        <f t="shared" si="82"/>
        <v>Low</v>
      </c>
      <c r="U415" t="str">
        <f t="shared" si="83"/>
        <v>Heavy Discount</v>
      </c>
      <c r="V415" t="str">
        <f t="shared" si="84"/>
        <v>Average</v>
      </c>
      <c r="W415">
        <f t="shared" si="85"/>
        <v>99</v>
      </c>
      <c r="X415">
        <f t="shared" si="86"/>
        <v>106</v>
      </c>
      <c r="Y415">
        <f t="shared" si="87"/>
        <v>10</v>
      </c>
      <c r="Z415" t="str">
        <f t="shared" si="88"/>
        <v>Not Eligible</v>
      </c>
      <c r="AA415" t="str">
        <f t="shared" si="89"/>
        <v>Normal Order</v>
      </c>
      <c r="AB415" t="str">
        <f t="shared" si="90"/>
        <v/>
      </c>
    </row>
    <row r="416" spans="1:28">
      <c r="A416" s="5">
        <v>10415</v>
      </c>
      <c r="B416" s="5">
        <v>1995</v>
      </c>
      <c r="C416" s="6">
        <v>45257</v>
      </c>
      <c r="D416" s="6">
        <v>45257</v>
      </c>
      <c r="E416" s="5" t="s">
        <v>112</v>
      </c>
      <c r="F416" s="5" t="s">
        <v>127</v>
      </c>
      <c r="G416" s="5" t="s">
        <v>83</v>
      </c>
      <c r="H416" s="5" t="s">
        <v>108</v>
      </c>
      <c r="I416" s="5" t="s">
        <v>132</v>
      </c>
      <c r="J416" s="5" t="s">
        <v>142</v>
      </c>
      <c r="K416" s="5" t="s">
        <v>94</v>
      </c>
      <c r="L416" s="5">
        <v>2</v>
      </c>
      <c r="M416" s="5">
        <v>3120.32</v>
      </c>
      <c r="N416" s="5">
        <v>20</v>
      </c>
      <c r="O416" s="5">
        <v>4992.51</v>
      </c>
      <c r="P416">
        <f t="shared" si="78"/>
        <v>6240.64</v>
      </c>
      <c r="Q416">
        <f t="shared" si="79"/>
        <v>1248.128</v>
      </c>
      <c r="R416">
        <f t="shared" si="80"/>
        <v>4992.512</v>
      </c>
      <c r="S416" t="str">
        <f t="shared" si="81"/>
        <v>Low</v>
      </c>
      <c r="T416" t="str">
        <f t="shared" si="82"/>
        <v>Low</v>
      </c>
      <c r="U416" t="str">
        <f t="shared" si="83"/>
        <v>Heavy Discount</v>
      </c>
      <c r="V416" t="str">
        <f t="shared" si="84"/>
        <v>Good</v>
      </c>
      <c r="W416">
        <f t="shared" si="85"/>
        <v>99</v>
      </c>
      <c r="X416">
        <f t="shared" si="86"/>
        <v>106</v>
      </c>
      <c r="Y416">
        <f t="shared" si="87"/>
        <v>10</v>
      </c>
      <c r="Z416" t="str">
        <f t="shared" si="88"/>
        <v>Not Eligible</v>
      </c>
      <c r="AA416" t="str">
        <f t="shared" si="89"/>
        <v>Normal Order</v>
      </c>
      <c r="AB416" t="str">
        <f t="shared" si="90"/>
        <v>Online</v>
      </c>
    </row>
    <row r="417" spans="1:28">
      <c r="A417" s="5">
        <v>10416</v>
      </c>
      <c r="B417" s="5">
        <v>1160</v>
      </c>
      <c r="C417" s="6">
        <v>44953</v>
      </c>
      <c r="D417" s="6">
        <v>44953</v>
      </c>
      <c r="E417" s="5" t="s">
        <v>100</v>
      </c>
      <c r="F417" s="5" t="s">
        <v>127</v>
      </c>
      <c r="G417" s="5" t="s">
        <v>90</v>
      </c>
      <c r="H417" s="5" t="s">
        <v>84</v>
      </c>
      <c r="I417" s="5" t="s">
        <v>115</v>
      </c>
      <c r="J417" s="5" t="s">
        <v>138</v>
      </c>
      <c r="K417" s="5" t="s">
        <v>99</v>
      </c>
      <c r="L417" s="5">
        <v>8</v>
      </c>
      <c r="M417" s="5">
        <v>2659.82</v>
      </c>
      <c r="N417" s="5">
        <v>0</v>
      </c>
      <c r="O417" s="5">
        <v>21278.56</v>
      </c>
      <c r="P417">
        <f t="shared" si="78"/>
        <v>21278.56</v>
      </c>
      <c r="Q417">
        <f t="shared" si="79"/>
        <v>0</v>
      </c>
      <c r="R417">
        <f t="shared" si="80"/>
        <v>21278.56</v>
      </c>
      <c r="S417" t="str">
        <f t="shared" si="81"/>
        <v>High</v>
      </c>
      <c r="T417" t="str">
        <f t="shared" si="82"/>
        <v>High</v>
      </c>
      <c r="U417" t="str">
        <f t="shared" si="83"/>
        <v>Normal Discount</v>
      </c>
      <c r="V417" t="str">
        <f t="shared" si="84"/>
        <v>Excellent Sales</v>
      </c>
      <c r="W417">
        <f t="shared" si="85"/>
        <v>99</v>
      </c>
      <c r="X417">
        <f t="shared" si="86"/>
        <v>106</v>
      </c>
      <c r="Y417">
        <f t="shared" si="87"/>
        <v>10</v>
      </c>
      <c r="Z417" t="str">
        <f t="shared" si="88"/>
        <v>Eligible</v>
      </c>
      <c r="AA417" t="str">
        <f t="shared" si="89"/>
        <v>Prriority Order</v>
      </c>
      <c r="AB417" t="str">
        <f t="shared" si="90"/>
        <v>Online</v>
      </c>
    </row>
    <row r="418" spans="1:28">
      <c r="A418" s="5">
        <v>10417</v>
      </c>
      <c r="B418" s="5">
        <v>1579</v>
      </c>
      <c r="C418" s="6">
        <v>45065</v>
      </c>
      <c r="D418" s="6">
        <v>45065</v>
      </c>
      <c r="E418" s="5" t="s">
        <v>88</v>
      </c>
      <c r="F418" s="5" t="s">
        <v>127</v>
      </c>
      <c r="G418" s="5" t="s">
        <v>83</v>
      </c>
      <c r="H418" s="5" t="s">
        <v>110</v>
      </c>
      <c r="I418" s="5" t="s">
        <v>123</v>
      </c>
      <c r="J418" s="5" t="s">
        <v>139</v>
      </c>
      <c r="K418" s="5" t="s">
        <v>111</v>
      </c>
      <c r="L418" s="5">
        <v>1</v>
      </c>
      <c r="M418" s="5">
        <v>3354.81</v>
      </c>
      <c r="N418" s="5">
        <v>0</v>
      </c>
      <c r="O418" s="5">
        <v>3354.81</v>
      </c>
      <c r="P418">
        <f t="shared" si="78"/>
        <v>3354.81</v>
      </c>
      <c r="Q418">
        <f t="shared" si="79"/>
        <v>0</v>
      </c>
      <c r="R418">
        <f t="shared" si="80"/>
        <v>3354.81</v>
      </c>
      <c r="S418" t="str">
        <f t="shared" si="81"/>
        <v>Low</v>
      </c>
      <c r="T418" t="str">
        <f t="shared" si="82"/>
        <v>Low</v>
      </c>
      <c r="U418" t="str">
        <f t="shared" si="83"/>
        <v>Normal Discount</v>
      </c>
      <c r="V418" t="str">
        <f t="shared" si="84"/>
        <v>Average</v>
      </c>
      <c r="W418">
        <f t="shared" si="85"/>
        <v>99</v>
      </c>
      <c r="X418">
        <f t="shared" si="86"/>
        <v>106</v>
      </c>
      <c r="Y418">
        <f t="shared" si="87"/>
        <v>9</v>
      </c>
      <c r="Z418" t="str">
        <f t="shared" si="88"/>
        <v>Eligible</v>
      </c>
      <c r="AA418" t="str">
        <f t="shared" si="89"/>
        <v>Normal Order</v>
      </c>
      <c r="AB418" t="str">
        <f t="shared" si="90"/>
        <v>Online</v>
      </c>
    </row>
    <row r="419" spans="1:28">
      <c r="A419" s="5">
        <v>10418</v>
      </c>
      <c r="B419" s="5">
        <v>1800</v>
      </c>
      <c r="C419" s="6">
        <v>45280</v>
      </c>
      <c r="D419" s="6">
        <v>45280</v>
      </c>
      <c r="E419" s="5" t="s">
        <v>106</v>
      </c>
      <c r="F419" s="5" t="s">
        <v>127</v>
      </c>
      <c r="G419" s="5" t="s">
        <v>90</v>
      </c>
      <c r="H419" s="5" t="s">
        <v>101</v>
      </c>
      <c r="I419" s="5" t="s">
        <v>123</v>
      </c>
      <c r="J419" s="5" t="s">
        <v>131</v>
      </c>
      <c r="K419" s="5" t="s">
        <v>99</v>
      </c>
      <c r="L419" s="5">
        <v>8</v>
      </c>
      <c r="M419" s="5">
        <v>3905.57</v>
      </c>
      <c r="N419" s="5">
        <v>10</v>
      </c>
      <c r="O419" s="5">
        <v>28120.1</v>
      </c>
      <c r="P419">
        <f t="shared" si="78"/>
        <v>31244.56</v>
      </c>
      <c r="Q419">
        <f t="shared" si="79"/>
        <v>3124.456</v>
      </c>
      <c r="R419">
        <f t="shared" si="80"/>
        <v>28120.104</v>
      </c>
      <c r="S419" t="str">
        <f t="shared" si="81"/>
        <v>High</v>
      </c>
      <c r="T419" t="str">
        <f t="shared" si="82"/>
        <v>High</v>
      </c>
      <c r="U419" t="str">
        <f t="shared" si="83"/>
        <v>Heavy Discount</v>
      </c>
      <c r="V419" t="str">
        <f t="shared" si="84"/>
        <v>Excellent Sales</v>
      </c>
      <c r="W419">
        <f t="shared" si="85"/>
        <v>99</v>
      </c>
      <c r="X419">
        <f t="shared" si="86"/>
        <v>106</v>
      </c>
      <c r="Y419">
        <f t="shared" si="87"/>
        <v>9</v>
      </c>
      <c r="Z419" t="str">
        <f t="shared" si="88"/>
        <v>Not Eligible</v>
      </c>
      <c r="AA419" t="str">
        <f t="shared" si="89"/>
        <v>Prriority Order</v>
      </c>
      <c r="AB419" t="str">
        <f t="shared" si="90"/>
        <v>Online</v>
      </c>
    </row>
    <row r="420" spans="1:28">
      <c r="A420" s="5">
        <v>10419</v>
      </c>
      <c r="B420" s="5">
        <v>1397</v>
      </c>
      <c r="C420" s="6">
        <v>45129</v>
      </c>
      <c r="D420" s="6">
        <v>45129</v>
      </c>
      <c r="E420" s="5" t="s">
        <v>81</v>
      </c>
      <c r="F420" s="5" t="s">
        <v>82</v>
      </c>
      <c r="G420" s="5" t="s">
        <v>90</v>
      </c>
      <c r="H420" s="5" t="s">
        <v>101</v>
      </c>
      <c r="I420" s="5" t="s">
        <v>92</v>
      </c>
      <c r="J420" s="5" t="s">
        <v>93</v>
      </c>
      <c r="K420" s="5" t="s">
        <v>113</v>
      </c>
      <c r="L420" s="5">
        <v>8</v>
      </c>
      <c r="M420" s="5">
        <v>1975.53</v>
      </c>
      <c r="N420" s="5">
        <v>5</v>
      </c>
      <c r="O420" s="5">
        <v>15014.03</v>
      </c>
      <c r="P420">
        <f t="shared" si="78"/>
        <v>15804.24</v>
      </c>
      <c r="Q420">
        <f t="shared" si="79"/>
        <v>790.212</v>
      </c>
      <c r="R420">
        <f t="shared" si="80"/>
        <v>15014.028</v>
      </c>
      <c r="S420" t="str">
        <f t="shared" si="81"/>
        <v>High</v>
      </c>
      <c r="T420" t="str">
        <f t="shared" si="82"/>
        <v>High</v>
      </c>
      <c r="U420" t="str">
        <f t="shared" si="83"/>
        <v>Heavy Discount</v>
      </c>
      <c r="V420" t="str">
        <f t="shared" si="84"/>
        <v>Excellent Sales</v>
      </c>
      <c r="W420">
        <f t="shared" si="85"/>
        <v>99</v>
      </c>
      <c r="X420">
        <f t="shared" si="86"/>
        <v>106</v>
      </c>
      <c r="Y420">
        <f t="shared" si="87"/>
        <v>9</v>
      </c>
      <c r="Z420" t="str">
        <f t="shared" si="88"/>
        <v>Not Eligible</v>
      </c>
      <c r="AA420" t="str">
        <f t="shared" si="89"/>
        <v>Prriority Order</v>
      </c>
      <c r="AB420" t="str">
        <f t="shared" si="90"/>
        <v>Online</v>
      </c>
    </row>
    <row r="421" spans="1:28">
      <c r="A421" s="5">
        <v>10420</v>
      </c>
      <c r="B421" s="5">
        <v>1276</v>
      </c>
      <c r="C421" s="6">
        <v>45209</v>
      </c>
      <c r="D421" s="6">
        <v>45209</v>
      </c>
      <c r="E421" s="5" t="s">
        <v>81</v>
      </c>
      <c r="F421" s="5" t="s">
        <v>95</v>
      </c>
      <c r="G421" s="5" t="s">
        <v>90</v>
      </c>
      <c r="H421" s="5" t="s">
        <v>84</v>
      </c>
      <c r="I421" s="5" t="s">
        <v>85</v>
      </c>
      <c r="J421" s="5" t="s">
        <v>141</v>
      </c>
      <c r="K421" s="5" t="s">
        <v>87</v>
      </c>
      <c r="L421" s="5">
        <v>2</v>
      </c>
      <c r="M421" s="5">
        <v>406.77</v>
      </c>
      <c r="N421" s="5">
        <v>10</v>
      </c>
      <c r="O421" s="5">
        <v>732.19</v>
      </c>
      <c r="P421">
        <f t="shared" si="78"/>
        <v>813.54</v>
      </c>
      <c r="Q421">
        <f t="shared" si="79"/>
        <v>81.354</v>
      </c>
      <c r="R421">
        <f t="shared" si="80"/>
        <v>732.186</v>
      </c>
      <c r="S421" t="str">
        <f t="shared" si="81"/>
        <v>Low</v>
      </c>
      <c r="T421" t="str">
        <f t="shared" si="82"/>
        <v>Low</v>
      </c>
      <c r="U421" t="str">
        <f t="shared" si="83"/>
        <v>Heavy Discount</v>
      </c>
      <c r="V421" t="str">
        <f t="shared" si="84"/>
        <v>Average</v>
      </c>
      <c r="W421">
        <f t="shared" si="85"/>
        <v>99</v>
      </c>
      <c r="X421">
        <f t="shared" si="86"/>
        <v>106</v>
      </c>
      <c r="Y421">
        <f t="shared" si="87"/>
        <v>9</v>
      </c>
      <c r="Z421" t="str">
        <f t="shared" si="88"/>
        <v>Not Eligible</v>
      </c>
      <c r="AA421" t="str">
        <f t="shared" si="89"/>
        <v>Normal Order</v>
      </c>
      <c r="AB421" t="str">
        <f t="shared" si="90"/>
        <v>Online</v>
      </c>
    </row>
    <row r="422" spans="1:28">
      <c r="A422" s="5">
        <v>10421</v>
      </c>
      <c r="B422" s="5">
        <v>1815</v>
      </c>
      <c r="C422" s="6">
        <v>45086</v>
      </c>
      <c r="D422" s="6">
        <v>45086</v>
      </c>
      <c r="E422" s="5" t="s">
        <v>112</v>
      </c>
      <c r="F422" s="5" t="s">
        <v>89</v>
      </c>
      <c r="G422" s="5" t="s">
        <v>90</v>
      </c>
      <c r="H422" s="5" t="s">
        <v>84</v>
      </c>
      <c r="I422" s="5" t="s">
        <v>123</v>
      </c>
      <c r="J422" s="5" t="s">
        <v>139</v>
      </c>
      <c r="K422" s="5" t="s">
        <v>111</v>
      </c>
      <c r="L422" s="5">
        <v>4</v>
      </c>
      <c r="M422" s="5">
        <v>335.16</v>
      </c>
      <c r="N422" s="5">
        <v>5</v>
      </c>
      <c r="O422" s="5">
        <v>1273.61</v>
      </c>
      <c r="P422">
        <f t="shared" si="78"/>
        <v>1340.64</v>
      </c>
      <c r="Q422">
        <f t="shared" si="79"/>
        <v>67.032</v>
      </c>
      <c r="R422">
        <f t="shared" si="80"/>
        <v>1273.608</v>
      </c>
      <c r="S422" t="str">
        <f t="shared" si="81"/>
        <v>Low</v>
      </c>
      <c r="T422" t="str">
        <f t="shared" si="82"/>
        <v>Low</v>
      </c>
      <c r="U422" t="str">
        <f t="shared" si="83"/>
        <v>Heavy Discount</v>
      </c>
      <c r="V422" t="str">
        <f t="shared" si="84"/>
        <v>Average</v>
      </c>
      <c r="W422">
        <f t="shared" si="85"/>
        <v>99</v>
      </c>
      <c r="X422">
        <f t="shared" si="86"/>
        <v>106</v>
      </c>
      <c r="Y422">
        <f t="shared" si="87"/>
        <v>9</v>
      </c>
      <c r="Z422" t="str">
        <f t="shared" si="88"/>
        <v>Not Eligible</v>
      </c>
      <c r="AA422" t="str">
        <f t="shared" si="89"/>
        <v>Normal Order</v>
      </c>
      <c r="AB422" t="str">
        <f t="shared" si="90"/>
        <v>Online</v>
      </c>
    </row>
    <row r="423" spans="1:28">
      <c r="A423" s="5">
        <v>10422</v>
      </c>
      <c r="B423" s="5">
        <v>1915</v>
      </c>
      <c r="C423" s="6">
        <v>45061</v>
      </c>
      <c r="D423" s="6">
        <v>45061</v>
      </c>
      <c r="E423" s="5" t="s">
        <v>82</v>
      </c>
      <c r="F423" s="5" t="s">
        <v>127</v>
      </c>
      <c r="G423" s="5" t="s">
        <v>83</v>
      </c>
      <c r="H423" s="5" t="s">
        <v>84</v>
      </c>
      <c r="I423" s="5" t="s">
        <v>123</v>
      </c>
      <c r="J423" s="5" t="s">
        <v>139</v>
      </c>
      <c r="K423" s="5" t="s">
        <v>113</v>
      </c>
      <c r="L423" s="5">
        <v>6</v>
      </c>
      <c r="M423" s="5">
        <v>1288.31</v>
      </c>
      <c r="N423" s="5">
        <v>15</v>
      </c>
      <c r="O423" s="5">
        <v>6570.38</v>
      </c>
      <c r="P423">
        <f t="shared" si="78"/>
        <v>7729.86</v>
      </c>
      <c r="Q423">
        <f t="shared" si="79"/>
        <v>1159.479</v>
      </c>
      <c r="R423">
        <f t="shared" si="80"/>
        <v>6570.381</v>
      </c>
      <c r="S423" t="str">
        <f t="shared" si="81"/>
        <v>High</v>
      </c>
      <c r="T423" t="str">
        <f t="shared" si="82"/>
        <v>High</v>
      </c>
      <c r="U423" t="str">
        <f t="shared" si="83"/>
        <v>Heavy Discount</v>
      </c>
      <c r="V423" t="str">
        <f t="shared" si="84"/>
        <v>Good</v>
      </c>
      <c r="W423">
        <f t="shared" si="85"/>
        <v>99</v>
      </c>
      <c r="X423">
        <f t="shared" si="86"/>
        <v>106</v>
      </c>
      <c r="Y423">
        <f t="shared" si="87"/>
        <v>9</v>
      </c>
      <c r="Z423" t="str">
        <f t="shared" si="88"/>
        <v>Not Eligible</v>
      </c>
      <c r="AA423" t="str">
        <f t="shared" si="89"/>
        <v>Prriority Order</v>
      </c>
      <c r="AB423" t="str">
        <f t="shared" si="90"/>
        <v>Online</v>
      </c>
    </row>
    <row r="424" spans="1:28">
      <c r="A424" s="5">
        <v>10423</v>
      </c>
      <c r="B424" s="5">
        <v>1503</v>
      </c>
      <c r="C424" s="6">
        <v>45155</v>
      </c>
      <c r="D424" s="6">
        <v>45155</v>
      </c>
      <c r="E424" s="5" t="s">
        <v>106</v>
      </c>
      <c r="F424" s="5" t="s">
        <v>82</v>
      </c>
      <c r="G424" s="5" t="s">
        <v>90</v>
      </c>
      <c r="H424" s="5" t="s">
        <v>110</v>
      </c>
      <c r="I424" s="5" t="s">
        <v>123</v>
      </c>
      <c r="J424" s="5" t="s">
        <v>135</v>
      </c>
      <c r="K424" s="5" t="s">
        <v>113</v>
      </c>
      <c r="L424" s="5">
        <v>9</v>
      </c>
      <c r="M424" s="5">
        <v>3740.3</v>
      </c>
      <c r="N424" s="5">
        <v>10</v>
      </c>
      <c r="O424" s="5">
        <v>30296.43</v>
      </c>
      <c r="P424">
        <f t="shared" si="78"/>
        <v>33662.7</v>
      </c>
      <c r="Q424">
        <f t="shared" si="79"/>
        <v>3366.27</v>
      </c>
      <c r="R424">
        <f t="shared" si="80"/>
        <v>30296.43</v>
      </c>
      <c r="S424" t="str">
        <f t="shared" si="81"/>
        <v>High</v>
      </c>
      <c r="T424" t="str">
        <f t="shared" si="82"/>
        <v>High</v>
      </c>
      <c r="U424" t="str">
        <f t="shared" si="83"/>
        <v>Heavy Discount</v>
      </c>
      <c r="V424" t="str">
        <f t="shared" si="84"/>
        <v>Excellent Sales</v>
      </c>
      <c r="W424">
        <f t="shared" si="85"/>
        <v>99</v>
      </c>
      <c r="X424">
        <f t="shared" si="86"/>
        <v>106</v>
      </c>
      <c r="Y424">
        <f t="shared" si="87"/>
        <v>9</v>
      </c>
      <c r="Z424" t="str">
        <f t="shared" si="88"/>
        <v>Not Eligible</v>
      </c>
      <c r="AA424" t="str">
        <f t="shared" si="89"/>
        <v>Prriority Order</v>
      </c>
      <c r="AB424" t="str">
        <f t="shared" si="90"/>
        <v>Online</v>
      </c>
    </row>
    <row r="425" spans="1:28">
      <c r="A425" s="5">
        <v>10424</v>
      </c>
      <c r="B425" s="5">
        <v>1895</v>
      </c>
      <c r="C425" s="6">
        <v>45123</v>
      </c>
      <c r="D425" s="6">
        <v>45123</v>
      </c>
      <c r="E425" s="5" t="s">
        <v>103</v>
      </c>
      <c r="F425" s="5" t="s">
        <v>82</v>
      </c>
      <c r="G425" s="5" t="s">
        <v>96</v>
      </c>
      <c r="H425" s="5" t="s">
        <v>108</v>
      </c>
      <c r="I425" s="5" t="s">
        <v>123</v>
      </c>
      <c r="J425" s="5" t="s">
        <v>131</v>
      </c>
      <c r="K425" s="5" t="s">
        <v>111</v>
      </c>
      <c r="L425" s="5">
        <v>8</v>
      </c>
      <c r="M425" s="5">
        <v>2164.37</v>
      </c>
      <c r="N425" s="5">
        <v>10</v>
      </c>
      <c r="O425" s="5">
        <v>15583.46</v>
      </c>
      <c r="P425">
        <f t="shared" si="78"/>
        <v>17314.96</v>
      </c>
      <c r="Q425">
        <f t="shared" si="79"/>
        <v>1731.496</v>
      </c>
      <c r="R425">
        <f t="shared" si="80"/>
        <v>15583.464</v>
      </c>
      <c r="S425" t="str">
        <f t="shared" si="81"/>
        <v>High</v>
      </c>
      <c r="T425" t="str">
        <f t="shared" si="82"/>
        <v>High</v>
      </c>
      <c r="U425" t="str">
        <f t="shared" si="83"/>
        <v>Heavy Discount</v>
      </c>
      <c r="V425" t="str">
        <f t="shared" si="84"/>
        <v>Excellent Sales</v>
      </c>
      <c r="W425">
        <f t="shared" si="85"/>
        <v>99</v>
      </c>
      <c r="X425">
        <f t="shared" si="86"/>
        <v>106</v>
      </c>
      <c r="Y425">
        <f t="shared" si="87"/>
        <v>9</v>
      </c>
      <c r="Z425" t="str">
        <f t="shared" si="88"/>
        <v>Not Eligible</v>
      </c>
      <c r="AA425" t="str">
        <f t="shared" si="89"/>
        <v>Prriority Order</v>
      </c>
      <c r="AB425" t="str">
        <f t="shared" si="90"/>
        <v/>
      </c>
    </row>
    <row r="426" spans="1:28">
      <c r="A426" s="5">
        <v>10425</v>
      </c>
      <c r="B426" s="5">
        <v>1391</v>
      </c>
      <c r="C426" s="6">
        <v>45193</v>
      </c>
      <c r="D426" s="6">
        <v>45193</v>
      </c>
      <c r="E426" s="5" t="s">
        <v>82</v>
      </c>
      <c r="F426" s="5" t="s">
        <v>82</v>
      </c>
      <c r="G426" s="5" t="s">
        <v>96</v>
      </c>
      <c r="H426" s="5" t="s">
        <v>84</v>
      </c>
      <c r="I426" s="5" t="s">
        <v>97</v>
      </c>
      <c r="J426" s="5" t="s">
        <v>105</v>
      </c>
      <c r="K426" s="5" t="s">
        <v>99</v>
      </c>
      <c r="L426" s="5">
        <v>8</v>
      </c>
      <c r="M426" s="5">
        <v>1196.38</v>
      </c>
      <c r="N426" s="5">
        <v>20</v>
      </c>
      <c r="O426" s="5">
        <v>7656.83</v>
      </c>
      <c r="P426">
        <f t="shared" si="78"/>
        <v>9571.04</v>
      </c>
      <c r="Q426">
        <f t="shared" si="79"/>
        <v>1914.208</v>
      </c>
      <c r="R426">
        <f t="shared" si="80"/>
        <v>7656.832</v>
      </c>
      <c r="S426" t="str">
        <f t="shared" si="81"/>
        <v>High</v>
      </c>
      <c r="T426" t="str">
        <f t="shared" si="82"/>
        <v>High</v>
      </c>
      <c r="U426" t="str">
        <f t="shared" si="83"/>
        <v>Heavy Discount</v>
      </c>
      <c r="V426" t="str">
        <f t="shared" si="84"/>
        <v>Excellent Sales</v>
      </c>
      <c r="W426">
        <f t="shared" si="85"/>
        <v>99</v>
      </c>
      <c r="X426">
        <f t="shared" si="86"/>
        <v>106</v>
      </c>
      <c r="Y426">
        <f t="shared" si="87"/>
        <v>9</v>
      </c>
      <c r="Z426" t="str">
        <f t="shared" si="88"/>
        <v>Not Eligible</v>
      </c>
      <c r="AA426" t="str">
        <f t="shared" si="89"/>
        <v>Prriority Order</v>
      </c>
      <c r="AB426" t="str">
        <f t="shared" si="90"/>
        <v/>
      </c>
    </row>
    <row r="427" spans="1:28">
      <c r="A427" s="5">
        <v>10426</v>
      </c>
      <c r="B427" s="5">
        <v>1134</v>
      </c>
      <c r="C427" s="6">
        <v>45067</v>
      </c>
      <c r="D427" s="6">
        <v>45067</v>
      </c>
      <c r="E427" s="5" t="s">
        <v>82</v>
      </c>
      <c r="F427" s="5" t="s">
        <v>95</v>
      </c>
      <c r="G427" s="5" t="s">
        <v>83</v>
      </c>
      <c r="H427" s="5" t="s">
        <v>84</v>
      </c>
      <c r="I427" s="5" t="s">
        <v>97</v>
      </c>
      <c r="J427" s="5" t="s">
        <v>98</v>
      </c>
      <c r="K427" s="5" t="s">
        <v>113</v>
      </c>
      <c r="L427" s="5">
        <v>7</v>
      </c>
      <c r="M427" s="5">
        <v>1686.79</v>
      </c>
      <c r="N427" s="5">
        <v>10</v>
      </c>
      <c r="O427" s="5">
        <v>10626.78</v>
      </c>
      <c r="P427">
        <f t="shared" si="78"/>
        <v>11807.53</v>
      </c>
      <c r="Q427">
        <f t="shared" si="79"/>
        <v>1180.753</v>
      </c>
      <c r="R427">
        <f t="shared" si="80"/>
        <v>10626.777</v>
      </c>
      <c r="S427" t="str">
        <f t="shared" si="81"/>
        <v>High</v>
      </c>
      <c r="T427" t="str">
        <f t="shared" si="82"/>
        <v>High</v>
      </c>
      <c r="U427" t="str">
        <f t="shared" si="83"/>
        <v>Heavy Discount</v>
      </c>
      <c r="V427" t="str">
        <f t="shared" si="84"/>
        <v>Excellent Sales</v>
      </c>
      <c r="W427">
        <f t="shared" si="85"/>
        <v>99</v>
      </c>
      <c r="X427">
        <f t="shared" si="86"/>
        <v>106</v>
      </c>
      <c r="Y427">
        <f t="shared" si="87"/>
        <v>9</v>
      </c>
      <c r="Z427" t="str">
        <f t="shared" si="88"/>
        <v>Not Eligible</v>
      </c>
      <c r="AA427" t="str">
        <f t="shared" si="89"/>
        <v>Prriority Order</v>
      </c>
      <c r="AB427" t="str">
        <f t="shared" si="90"/>
        <v>Online</v>
      </c>
    </row>
    <row r="428" spans="1:28">
      <c r="A428" s="5">
        <v>10427</v>
      </c>
      <c r="B428" s="5">
        <v>1194</v>
      </c>
      <c r="C428" s="6">
        <v>45140</v>
      </c>
      <c r="D428" s="6">
        <v>45140</v>
      </c>
      <c r="E428" s="5" t="s">
        <v>106</v>
      </c>
      <c r="F428" s="5" t="s">
        <v>89</v>
      </c>
      <c r="G428" s="5" t="s">
        <v>90</v>
      </c>
      <c r="H428" s="5" t="s">
        <v>91</v>
      </c>
      <c r="I428" s="5" t="s">
        <v>85</v>
      </c>
      <c r="J428" s="5" t="s">
        <v>129</v>
      </c>
      <c r="K428" s="5" t="s">
        <v>94</v>
      </c>
      <c r="L428" s="5">
        <v>9</v>
      </c>
      <c r="M428" s="5">
        <v>2454.59</v>
      </c>
      <c r="N428" s="5">
        <v>5</v>
      </c>
      <c r="O428" s="5">
        <v>20986.74</v>
      </c>
      <c r="P428">
        <f t="shared" si="78"/>
        <v>22091.31</v>
      </c>
      <c r="Q428">
        <f t="shared" si="79"/>
        <v>1104.5655</v>
      </c>
      <c r="R428">
        <f t="shared" si="80"/>
        <v>20986.7445</v>
      </c>
      <c r="S428" t="str">
        <f t="shared" si="81"/>
        <v>High</v>
      </c>
      <c r="T428" t="str">
        <f t="shared" si="82"/>
        <v>High</v>
      </c>
      <c r="U428" t="str">
        <f t="shared" si="83"/>
        <v>Heavy Discount</v>
      </c>
      <c r="V428" t="str">
        <f t="shared" si="84"/>
        <v>Excellent Sales</v>
      </c>
      <c r="W428">
        <f t="shared" si="85"/>
        <v>99</v>
      </c>
      <c r="X428">
        <f t="shared" si="86"/>
        <v>106</v>
      </c>
      <c r="Y428">
        <f t="shared" si="87"/>
        <v>9</v>
      </c>
      <c r="Z428" t="str">
        <f t="shared" si="88"/>
        <v>Not Eligible</v>
      </c>
      <c r="AA428" t="str">
        <f t="shared" si="89"/>
        <v>Prriority Order</v>
      </c>
      <c r="AB428" t="str">
        <f t="shared" si="90"/>
        <v>Online</v>
      </c>
    </row>
    <row r="429" spans="1:28">
      <c r="A429" s="5">
        <v>10428</v>
      </c>
      <c r="B429" s="5">
        <v>1400</v>
      </c>
      <c r="C429" s="6">
        <v>44994</v>
      </c>
      <c r="D429" s="6">
        <v>44994</v>
      </c>
      <c r="E429" s="5" t="s">
        <v>88</v>
      </c>
      <c r="F429" s="5" t="s">
        <v>95</v>
      </c>
      <c r="G429" s="5" t="s">
        <v>96</v>
      </c>
      <c r="H429" s="5" t="s">
        <v>110</v>
      </c>
      <c r="I429" s="5" t="s">
        <v>115</v>
      </c>
      <c r="J429" s="5" t="s">
        <v>119</v>
      </c>
      <c r="K429" s="5" t="s">
        <v>113</v>
      </c>
      <c r="L429" s="5">
        <v>2</v>
      </c>
      <c r="M429" s="5">
        <v>2663.86</v>
      </c>
      <c r="N429" s="5">
        <v>20</v>
      </c>
      <c r="O429" s="5">
        <v>4262.18</v>
      </c>
      <c r="P429">
        <f t="shared" si="78"/>
        <v>5327.72</v>
      </c>
      <c r="Q429">
        <f t="shared" si="79"/>
        <v>1065.544</v>
      </c>
      <c r="R429">
        <f t="shared" si="80"/>
        <v>4262.176</v>
      </c>
      <c r="S429" t="str">
        <f t="shared" si="81"/>
        <v>Low</v>
      </c>
      <c r="T429" t="str">
        <f t="shared" si="82"/>
        <v>Low</v>
      </c>
      <c r="U429" t="str">
        <f t="shared" si="83"/>
        <v>Heavy Discount</v>
      </c>
      <c r="V429" t="str">
        <f t="shared" si="84"/>
        <v>Good</v>
      </c>
      <c r="W429">
        <f t="shared" si="85"/>
        <v>99</v>
      </c>
      <c r="X429">
        <f t="shared" si="86"/>
        <v>106</v>
      </c>
      <c r="Y429">
        <f t="shared" si="87"/>
        <v>9</v>
      </c>
      <c r="Z429" t="str">
        <f t="shared" si="88"/>
        <v>Not Eligible</v>
      </c>
      <c r="AA429" t="str">
        <f t="shared" si="89"/>
        <v>Normal Order</v>
      </c>
      <c r="AB429" t="str">
        <f t="shared" si="90"/>
        <v/>
      </c>
    </row>
    <row r="430" spans="1:28">
      <c r="A430" s="5">
        <v>10429</v>
      </c>
      <c r="B430" s="5">
        <v>1639</v>
      </c>
      <c r="C430" s="6">
        <v>45297</v>
      </c>
      <c r="D430" s="6">
        <v>45297</v>
      </c>
      <c r="E430" s="5" t="s">
        <v>112</v>
      </c>
      <c r="F430" s="5" t="s">
        <v>104</v>
      </c>
      <c r="G430" s="5" t="s">
        <v>83</v>
      </c>
      <c r="H430" s="5" t="s">
        <v>84</v>
      </c>
      <c r="I430" s="5" t="s">
        <v>123</v>
      </c>
      <c r="J430" s="5" t="s">
        <v>131</v>
      </c>
      <c r="K430" s="5" t="s">
        <v>99</v>
      </c>
      <c r="L430" s="5">
        <v>3</v>
      </c>
      <c r="M430" s="5">
        <v>742.59</v>
      </c>
      <c r="N430" s="5">
        <v>10</v>
      </c>
      <c r="O430" s="5">
        <v>2004.99</v>
      </c>
      <c r="P430">
        <f t="shared" si="78"/>
        <v>2227.77</v>
      </c>
      <c r="Q430">
        <f t="shared" si="79"/>
        <v>222.777</v>
      </c>
      <c r="R430">
        <f t="shared" si="80"/>
        <v>2004.993</v>
      </c>
      <c r="S430" t="str">
        <f t="shared" si="81"/>
        <v>Low</v>
      </c>
      <c r="T430" t="str">
        <f t="shared" si="82"/>
        <v>Low</v>
      </c>
      <c r="U430" t="str">
        <f t="shared" si="83"/>
        <v>Heavy Discount</v>
      </c>
      <c r="V430" t="str">
        <f t="shared" si="84"/>
        <v>Average</v>
      </c>
      <c r="W430">
        <f t="shared" si="85"/>
        <v>99</v>
      </c>
      <c r="X430">
        <f t="shared" si="86"/>
        <v>106</v>
      </c>
      <c r="Y430">
        <f t="shared" si="87"/>
        <v>9</v>
      </c>
      <c r="Z430" t="str">
        <f t="shared" si="88"/>
        <v>Not Eligible</v>
      </c>
      <c r="AA430" t="str">
        <f t="shared" si="89"/>
        <v>Normal Order</v>
      </c>
      <c r="AB430" t="str">
        <f t="shared" si="90"/>
        <v>Online</v>
      </c>
    </row>
    <row r="431" spans="1:28">
      <c r="A431" s="5">
        <v>10430</v>
      </c>
      <c r="B431" s="5">
        <v>1032</v>
      </c>
      <c r="C431" s="6">
        <v>45298</v>
      </c>
      <c r="D431" s="6">
        <v>45298</v>
      </c>
      <c r="E431" s="5" t="s">
        <v>112</v>
      </c>
      <c r="F431" s="5" t="s">
        <v>82</v>
      </c>
      <c r="G431" s="5" t="s">
        <v>90</v>
      </c>
      <c r="H431" s="5" t="s">
        <v>91</v>
      </c>
      <c r="I431" s="5" t="s">
        <v>92</v>
      </c>
      <c r="J431" s="5" t="s">
        <v>144</v>
      </c>
      <c r="K431" s="5" t="s">
        <v>99</v>
      </c>
      <c r="L431" s="5">
        <v>8</v>
      </c>
      <c r="M431" s="5">
        <v>3911.57</v>
      </c>
      <c r="N431" s="5">
        <v>10</v>
      </c>
      <c r="O431" s="5">
        <v>28163.3</v>
      </c>
      <c r="P431">
        <f t="shared" si="78"/>
        <v>31292.56</v>
      </c>
      <c r="Q431">
        <f t="shared" si="79"/>
        <v>3129.256</v>
      </c>
      <c r="R431">
        <f t="shared" si="80"/>
        <v>28163.304</v>
      </c>
      <c r="S431" t="str">
        <f t="shared" si="81"/>
        <v>High</v>
      </c>
      <c r="T431" t="str">
        <f t="shared" si="82"/>
        <v>High</v>
      </c>
      <c r="U431" t="str">
        <f t="shared" si="83"/>
        <v>Heavy Discount</v>
      </c>
      <c r="V431" t="str">
        <f t="shared" si="84"/>
        <v>Excellent Sales</v>
      </c>
      <c r="W431">
        <f t="shared" si="85"/>
        <v>99</v>
      </c>
      <c r="X431">
        <f t="shared" si="86"/>
        <v>106</v>
      </c>
      <c r="Y431">
        <f t="shared" si="87"/>
        <v>9</v>
      </c>
      <c r="Z431" t="str">
        <f t="shared" si="88"/>
        <v>Not Eligible</v>
      </c>
      <c r="AA431" t="str">
        <f t="shared" si="89"/>
        <v>Prriority Order</v>
      </c>
      <c r="AB431" t="str">
        <f t="shared" si="90"/>
        <v>Online</v>
      </c>
    </row>
    <row r="432" spans="1:28">
      <c r="A432" s="5">
        <v>10431</v>
      </c>
      <c r="B432" s="5">
        <v>1687</v>
      </c>
      <c r="C432" s="6">
        <v>45146</v>
      </c>
      <c r="D432" s="6">
        <v>45146</v>
      </c>
      <c r="E432" s="5" t="s">
        <v>112</v>
      </c>
      <c r="F432" s="5" t="s">
        <v>104</v>
      </c>
      <c r="G432" s="5" t="s">
        <v>96</v>
      </c>
      <c r="H432" s="5" t="s">
        <v>101</v>
      </c>
      <c r="I432" s="5" t="s">
        <v>115</v>
      </c>
      <c r="J432" s="5" t="s">
        <v>119</v>
      </c>
      <c r="K432" s="5" t="s">
        <v>94</v>
      </c>
      <c r="L432" s="5">
        <v>6</v>
      </c>
      <c r="M432" s="5">
        <v>2247.37</v>
      </c>
      <c r="N432" s="5">
        <v>15</v>
      </c>
      <c r="O432" s="5">
        <v>11461.59</v>
      </c>
      <c r="P432">
        <f t="shared" si="78"/>
        <v>13484.22</v>
      </c>
      <c r="Q432">
        <f t="shared" si="79"/>
        <v>2022.633</v>
      </c>
      <c r="R432">
        <f t="shared" si="80"/>
        <v>11461.587</v>
      </c>
      <c r="S432" t="str">
        <f t="shared" si="81"/>
        <v>High</v>
      </c>
      <c r="T432" t="str">
        <f t="shared" si="82"/>
        <v>High</v>
      </c>
      <c r="U432" t="str">
        <f t="shared" si="83"/>
        <v>Heavy Discount</v>
      </c>
      <c r="V432" t="str">
        <f t="shared" si="84"/>
        <v>Excellent Sales</v>
      </c>
      <c r="W432">
        <f t="shared" si="85"/>
        <v>99</v>
      </c>
      <c r="X432">
        <f t="shared" si="86"/>
        <v>106</v>
      </c>
      <c r="Y432">
        <f t="shared" si="87"/>
        <v>9</v>
      </c>
      <c r="Z432" t="str">
        <f t="shared" si="88"/>
        <v>Not Eligible</v>
      </c>
      <c r="AA432" t="str">
        <f t="shared" si="89"/>
        <v>Prriority Order</v>
      </c>
      <c r="AB432" t="str">
        <f t="shared" si="90"/>
        <v/>
      </c>
    </row>
    <row r="433" spans="1:28">
      <c r="A433" s="5">
        <v>10432</v>
      </c>
      <c r="B433" s="5">
        <v>1459</v>
      </c>
      <c r="C433" s="6">
        <v>45148</v>
      </c>
      <c r="D433" s="6">
        <v>45148</v>
      </c>
      <c r="E433" s="5" t="s">
        <v>112</v>
      </c>
      <c r="F433" s="5" t="s">
        <v>107</v>
      </c>
      <c r="G433" s="5" t="s">
        <v>96</v>
      </c>
      <c r="H433" s="5" t="s">
        <v>84</v>
      </c>
      <c r="I433" s="5" t="s">
        <v>92</v>
      </c>
      <c r="J433" s="5" t="s">
        <v>136</v>
      </c>
      <c r="K433" s="5" t="s">
        <v>113</v>
      </c>
      <c r="L433" s="5">
        <v>9</v>
      </c>
      <c r="M433" s="5">
        <v>672.4</v>
      </c>
      <c r="N433" s="5">
        <v>10</v>
      </c>
      <c r="O433" s="5">
        <v>5446.44</v>
      </c>
      <c r="P433">
        <f t="shared" si="78"/>
        <v>6051.6</v>
      </c>
      <c r="Q433">
        <f t="shared" si="79"/>
        <v>605.16</v>
      </c>
      <c r="R433">
        <f t="shared" si="80"/>
        <v>5446.44</v>
      </c>
      <c r="S433" t="str">
        <f t="shared" si="81"/>
        <v>High</v>
      </c>
      <c r="T433" t="str">
        <f t="shared" si="82"/>
        <v>High</v>
      </c>
      <c r="U433" t="str">
        <f t="shared" si="83"/>
        <v>Heavy Discount</v>
      </c>
      <c r="V433" t="str">
        <f t="shared" si="84"/>
        <v>Good</v>
      </c>
      <c r="W433">
        <f t="shared" si="85"/>
        <v>99</v>
      </c>
      <c r="X433">
        <f t="shared" si="86"/>
        <v>106</v>
      </c>
      <c r="Y433">
        <f t="shared" si="87"/>
        <v>9</v>
      </c>
      <c r="Z433" t="str">
        <f t="shared" si="88"/>
        <v>Not Eligible</v>
      </c>
      <c r="AA433" t="str">
        <f t="shared" si="89"/>
        <v>Prriority Order</v>
      </c>
      <c r="AB433" t="str">
        <f t="shared" si="90"/>
        <v/>
      </c>
    </row>
    <row r="434" spans="1:28">
      <c r="A434" s="5">
        <v>10433</v>
      </c>
      <c r="B434" s="5">
        <v>1954</v>
      </c>
      <c r="C434" s="6">
        <v>45159</v>
      </c>
      <c r="D434" s="6">
        <v>45159</v>
      </c>
      <c r="E434" s="5" t="s">
        <v>81</v>
      </c>
      <c r="F434" s="5" t="s">
        <v>127</v>
      </c>
      <c r="G434" s="5" t="s">
        <v>83</v>
      </c>
      <c r="H434" s="5" t="s">
        <v>84</v>
      </c>
      <c r="I434" s="5" t="s">
        <v>115</v>
      </c>
      <c r="J434" s="5" t="s">
        <v>119</v>
      </c>
      <c r="K434" s="5" t="s">
        <v>99</v>
      </c>
      <c r="L434" s="5">
        <v>4</v>
      </c>
      <c r="M434" s="5">
        <v>3590.5</v>
      </c>
      <c r="N434" s="5">
        <v>0</v>
      </c>
      <c r="O434" s="5">
        <v>14362</v>
      </c>
      <c r="P434">
        <f t="shared" si="78"/>
        <v>14362</v>
      </c>
      <c r="Q434">
        <f t="shared" si="79"/>
        <v>0</v>
      </c>
      <c r="R434">
        <f t="shared" si="80"/>
        <v>14362</v>
      </c>
      <c r="S434" t="str">
        <f t="shared" si="81"/>
        <v>Low</v>
      </c>
      <c r="T434" t="str">
        <f t="shared" si="82"/>
        <v>Low</v>
      </c>
      <c r="U434" t="str">
        <f t="shared" si="83"/>
        <v>Normal Discount</v>
      </c>
      <c r="V434" t="str">
        <f t="shared" si="84"/>
        <v>Excellent Sales</v>
      </c>
      <c r="W434">
        <f t="shared" si="85"/>
        <v>99</v>
      </c>
      <c r="X434">
        <f t="shared" si="86"/>
        <v>106</v>
      </c>
      <c r="Y434">
        <f t="shared" si="87"/>
        <v>9</v>
      </c>
      <c r="Z434" t="str">
        <f t="shared" si="88"/>
        <v>Eligible</v>
      </c>
      <c r="AA434" t="str">
        <f t="shared" si="89"/>
        <v>Prriority Order</v>
      </c>
      <c r="AB434" t="str">
        <f t="shared" si="90"/>
        <v>Online</v>
      </c>
    </row>
    <row r="435" spans="1:28">
      <c r="A435" s="5">
        <v>10434</v>
      </c>
      <c r="B435" s="5">
        <v>1882</v>
      </c>
      <c r="C435" s="6">
        <v>45062</v>
      </c>
      <c r="D435" s="6">
        <v>45062</v>
      </c>
      <c r="E435" s="5" t="s">
        <v>112</v>
      </c>
      <c r="F435" s="5" t="s">
        <v>127</v>
      </c>
      <c r="G435" s="5" t="s">
        <v>90</v>
      </c>
      <c r="H435" s="5" t="s">
        <v>91</v>
      </c>
      <c r="I435" s="5" t="s">
        <v>85</v>
      </c>
      <c r="J435" s="5" t="s">
        <v>86</v>
      </c>
      <c r="K435" s="5" t="s">
        <v>111</v>
      </c>
      <c r="L435" s="5">
        <v>8</v>
      </c>
      <c r="M435" s="5">
        <v>437.36</v>
      </c>
      <c r="N435" s="5">
        <v>20</v>
      </c>
      <c r="O435" s="5">
        <v>2799.1</v>
      </c>
      <c r="P435">
        <f t="shared" si="78"/>
        <v>3498.88</v>
      </c>
      <c r="Q435">
        <f t="shared" si="79"/>
        <v>699.776</v>
      </c>
      <c r="R435">
        <f t="shared" si="80"/>
        <v>2799.104</v>
      </c>
      <c r="S435" t="str">
        <f t="shared" si="81"/>
        <v>High</v>
      </c>
      <c r="T435" t="str">
        <f t="shared" si="82"/>
        <v>High</v>
      </c>
      <c r="U435" t="str">
        <f t="shared" si="83"/>
        <v>Heavy Discount</v>
      </c>
      <c r="V435" t="str">
        <f t="shared" si="84"/>
        <v>Average</v>
      </c>
      <c r="W435">
        <f t="shared" si="85"/>
        <v>99</v>
      </c>
      <c r="X435">
        <f t="shared" si="86"/>
        <v>106</v>
      </c>
      <c r="Y435">
        <f t="shared" si="87"/>
        <v>8</v>
      </c>
      <c r="Z435" t="str">
        <f t="shared" si="88"/>
        <v>Not Eligible</v>
      </c>
      <c r="AA435" t="str">
        <f t="shared" si="89"/>
        <v>Prriority Order</v>
      </c>
      <c r="AB435" t="str">
        <f t="shared" si="90"/>
        <v>Online</v>
      </c>
    </row>
    <row r="436" spans="1:28">
      <c r="A436" s="5">
        <v>10435</v>
      </c>
      <c r="B436" s="5">
        <v>1469</v>
      </c>
      <c r="C436" s="6">
        <v>45009</v>
      </c>
      <c r="D436" s="6">
        <v>45009</v>
      </c>
      <c r="E436" s="5" t="s">
        <v>81</v>
      </c>
      <c r="F436" s="5" t="s">
        <v>95</v>
      </c>
      <c r="G436" s="5" t="s">
        <v>90</v>
      </c>
      <c r="H436" s="5" t="s">
        <v>110</v>
      </c>
      <c r="I436" s="5" t="s">
        <v>123</v>
      </c>
      <c r="J436" s="5" t="s">
        <v>131</v>
      </c>
      <c r="K436" s="5" t="s">
        <v>87</v>
      </c>
      <c r="L436" s="5">
        <v>3</v>
      </c>
      <c r="M436" s="5">
        <v>3644.78</v>
      </c>
      <c r="N436" s="5">
        <v>0</v>
      </c>
      <c r="O436" s="5">
        <v>10934.34</v>
      </c>
      <c r="P436">
        <f t="shared" si="78"/>
        <v>10934.34</v>
      </c>
      <c r="Q436">
        <f t="shared" si="79"/>
        <v>0</v>
      </c>
      <c r="R436">
        <f t="shared" si="80"/>
        <v>10934.34</v>
      </c>
      <c r="S436" t="str">
        <f t="shared" si="81"/>
        <v>Low</v>
      </c>
      <c r="T436" t="str">
        <f t="shared" si="82"/>
        <v>Low</v>
      </c>
      <c r="U436" t="str">
        <f t="shared" si="83"/>
        <v>Normal Discount</v>
      </c>
      <c r="V436" t="str">
        <f t="shared" si="84"/>
        <v>Excellent Sales</v>
      </c>
      <c r="W436">
        <f t="shared" si="85"/>
        <v>99</v>
      </c>
      <c r="X436">
        <f t="shared" si="86"/>
        <v>106</v>
      </c>
      <c r="Y436">
        <f t="shared" si="87"/>
        <v>8</v>
      </c>
      <c r="Z436" t="str">
        <f t="shared" si="88"/>
        <v>Eligible</v>
      </c>
      <c r="AA436" t="str">
        <f t="shared" si="89"/>
        <v>Prriority Order</v>
      </c>
      <c r="AB436" t="str">
        <f t="shared" si="90"/>
        <v>Online</v>
      </c>
    </row>
    <row r="437" spans="1:28">
      <c r="A437" s="5">
        <v>10436</v>
      </c>
      <c r="B437" s="5">
        <v>1374</v>
      </c>
      <c r="C437" s="6">
        <v>45213</v>
      </c>
      <c r="D437" s="6">
        <v>45213</v>
      </c>
      <c r="E437" s="5" t="s">
        <v>81</v>
      </c>
      <c r="F437" s="5" t="s">
        <v>89</v>
      </c>
      <c r="G437" s="5" t="s">
        <v>96</v>
      </c>
      <c r="H437" s="5" t="s">
        <v>84</v>
      </c>
      <c r="I437" s="5" t="s">
        <v>123</v>
      </c>
      <c r="J437" s="5" t="s">
        <v>135</v>
      </c>
      <c r="K437" s="5" t="s">
        <v>87</v>
      </c>
      <c r="L437" s="5">
        <v>3</v>
      </c>
      <c r="M437" s="5">
        <v>3986.78</v>
      </c>
      <c r="N437" s="5">
        <v>20</v>
      </c>
      <c r="O437" s="5">
        <v>9568.27</v>
      </c>
      <c r="P437">
        <f t="shared" si="78"/>
        <v>11960.34</v>
      </c>
      <c r="Q437">
        <f t="shared" si="79"/>
        <v>2392.068</v>
      </c>
      <c r="R437">
        <f t="shared" si="80"/>
        <v>9568.272</v>
      </c>
      <c r="S437" t="str">
        <f t="shared" si="81"/>
        <v>Low</v>
      </c>
      <c r="T437" t="str">
        <f t="shared" si="82"/>
        <v>Low</v>
      </c>
      <c r="U437" t="str">
        <f t="shared" si="83"/>
        <v>Heavy Discount</v>
      </c>
      <c r="V437" t="str">
        <f t="shared" si="84"/>
        <v>Excellent Sales</v>
      </c>
      <c r="W437">
        <f t="shared" si="85"/>
        <v>99</v>
      </c>
      <c r="X437">
        <f t="shared" si="86"/>
        <v>106</v>
      </c>
      <c r="Y437">
        <f t="shared" si="87"/>
        <v>8</v>
      </c>
      <c r="Z437" t="str">
        <f t="shared" si="88"/>
        <v>Not Eligible</v>
      </c>
      <c r="AA437" t="str">
        <f t="shared" si="89"/>
        <v>Prriority Order</v>
      </c>
      <c r="AB437" t="str">
        <f t="shared" si="90"/>
        <v/>
      </c>
    </row>
    <row r="438" spans="1:28">
      <c r="A438" s="5">
        <v>10437</v>
      </c>
      <c r="B438" s="5">
        <v>1021</v>
      </c>
      <c r="C438" s="6">
        <v>45204</v>
      </c>
      <c r="D438" s="6">
        <v>45204</v>
      </c>
      <c r="E438" s="5" t="s">
        <v>88</v>
      </c>
      <c r="F438" s="5" t="s">
        <v>104</v>
      </c>
      <c r="G438" s="5" t="s">
        <v>96</v>
      </c>
      <c r="H438" s="5" t="s">
        <v>101</v>
      </c>
      <c r="I438" s="5" t="s">
        <v>132</v>
      </c>
      <c r="J438" s="5" t="s">
        <v>137</v>
      </c>
      <c r="K438" s="5" t="s">
        <v>87</v>
      </c>
      <c r="L438" s="5">
        <v>8</v>
      </c>
      <c r="M438" s="5">
        <v>2846.66</v>
      </c>
      <c r="N438" s="5">
        <v>15</v>
      </c>
      <c r="O438" s="5">
        <v>19357.29</v>
      </c>
      <c r="P438">
        <f t="shared" si="78"/>
        <v>22773.28</v>
      </c>
      <c r="Q438">
        <f t="shared" si="79"/>
        <v>3415.992</v>
      </c>
      <c r="R438">
        <f t="shared" si="80"/>
        <v>19357.288</v>
      </c>
      <c r="S438" t="str">
        <f t="shared" si="81"/>
        <v>High</v>
      </c>
      <c r="T438" t="str">
        <f t="shared" si="82"/>
        <v>High</v>
      </c>
      <c r="U438" t="str">
        <f t="shared" si="83"/>
        <v>Heavy Discount</v>
      </c>
      <c r="V438" t="str">
        <f t="shared" si="84"/>
        <v>Excellent Sales</v>
      </c>
      <c r="W438">
        <f t="shared" si="85"/>
        <v>99</v>
      </c>
      <c r="X438">
        <f t="shared" si="86"/>
        <v>106</v>
      </c>
      <c r="Y438">
        <f t="shared" si="87"/>
        <v>8</v>
      </c>
      <c r="Z438" t="str">
        <f t="shared" si="88"/>
        <v>Not Eligible</v>
      </c>
      <c r="AA438" t="str">
        <f t="shared" si="89"/>
        <v>Prriority Order</v>
      </c>
      <c r="AB438" t="str">
        <f t="shared" si="90"/>
        <v/>
      </c>
    </row>
    <row r="439" spans="1:28">
      <c r="A439" s="5">
        <v>10438</v>
      </c>
      <c r="B439" s="5">
        <v>1749</v>
      </c>
      <c r="C439" s="6">
        <v>45091</v>
      </c>
      <c r="D439" s="6">
        <v>45091</v>
      </c>
      <c r="E439" s="5" t="s">
        <v>112</v>
      </c>
      <c r="F439" s="5" t="s">
        <v>89</v>
      </c>
      <c r="G439" s="5" t="s">
        <v>96</v>
      </c>
      <c r="H439" s="5" t="s">
        <v>84</v>
      </c>
      <c r="I439" s="5" t="s">
        <v>92</v>
      </c>
      <c r="J439" s="5" t="s">
        <v>136</v>
      </c>
      <c r="K439" s="5" t="s">
        <v>113</v>
      </c>
      <c r="L439" s="5">
        <v>5</v>
      </c>
      <c r="M439" s="5">
        <v>3116.22</v>
      </c>
      <c r="N439" s="5">
        <v>10</v>
      </c>
      <c r="O439" s="5">
        <v>14022.99</v>
      </c>
      <c r="P439">
        <f t="shared" si="78"/>
        <v>15581.1</v>
      </c>
      <c r="Q439">
        <f t="shared" si="79"/>
        <v>1558.11</v>
      </c>
      <c r="R439">
        <f t="shared" si="80"/>
        <v>14022.99</v>
      </c>
      <c r="S439" t="str">
        <f t="shared" si="81"/>
        <v>High</v>
      </c>
      <c r="T439" t="str">
        <f t="shared" si="82"/>
        <v>Medium</v>
      </c>
      <c r="U439" t="str">
        <f t="shared" si="83"/>
        <v>Heavy Discount</v>
      </c>
      <c r="V439" t="str">
        <f t="shared" si="84"/>
        <v>Excellent Sales</v>
      </c>
      <c r="W439">
        <f t="shared" si="85"/>
        <v>99</v>
      </c>
      <c r="X439">
        <f t="shared" si="86"/>
        <v>106</v>
      </c>
      <c r="Y439">
        <f t="shared" si="87"/>
        <v>8</v>
      </c>
      <c r="Z439" t="str">
        <f t="shared" si="88"/>
        <v>Not Eligible</v>
      </c>
      <c r="AA439" t="str">
        <f t="shared" si="89"/>
        <v>Prriority Order</v>
      </c>
      <c r="AB439" t="str">
        <f t="shared" si="90"/>
        <v/>
      </c>
    </row>
    <row r="440" spans="1:28">
      <c r="A440" s="5">
        <v>10439</v>
      </c>
      <c r="B440" s="5">
        <v>1669</v>
      </c>
      <c r="C440" s="6">
        <v>45179</v>
      </c>
      <c r="D440" s="6">
        <v>45179</v>
      </c>
      <c r="E440" s="5" t="s">
        <v>100</v>
      </c>
      <c r="F440" s="5" t="s">
        <v>95</v>
      </c>
      <c r="G440" s="5" t="s">
        <v>90</v>
      </c>
      <c r="H440" s="5" t="s">
        <v>101</v>
      </c>
      <c r="I440" s="5" t="s">
        <v>115</v>
      </c>
      <c r="J440" s="5" t="s">
        <v>119</v>
      </c>
      <c r="K440" s="5" t="s">
        <v>94</v>
      </c>
      <c r="L440" s="5">
        <v>3</v>
      </c>
      <c r="M440" s="5">
        <v>1448.62</v>
      </c>
      <c r="N440" s="5">
        <v>10</v>
      </c>
      <c r="O440" s="5">
        <v>3911.27</v>
      </c>
      <c r="P440">
        <f t="shared" si="78"/>
        <v>4345.86</v>
      </c>
      <c r="Q440">
        <f t="shared" si="79"/>
        <v>434.586</v>
      </c>
      <c r="R440">
        <f t="shared" si="80"/>
        <v>3911.274</v>
      </c>
      <c r="S440" t="str">
        <f t="shared" si="81"/>
        <v>Low</v>
      </c>
      <c r="T440" t="str">
        <f t="shared" si="82"/>
        <v>Low</v>
      </c>
      <c r="U440" t="str">
        <f t="shared" si="83"/>
        <v>Heavy Discount</v>
      </c>
      <c r="V440" t="str">
        <f t="shared" si="84"/>
        <v>Average</v>
      </c>
      <c r="W440">
        <f t="shared" si="85"/>
        <v>99</v>
      </c>
      <c r="X440">
        <f t="shared" si="86"/>
        <v>106</v>
      </c>
      <c r="Y440">
        <f t="shared" si="87"/>
        <v>8</v>
      </c>
      <c r="Z440" t="str">
        <f t="shared" si="88"/>
        <v>Not Eligible</v>
      </c>
      <c r="AA440" t="str">
        <f t="shared" si="89"/>
        <v>Normal Order</v>
      </c>
      <c r="AB440" t="str">
        <f t="shared" si="90"/>
        <v>Online</v>
      </c>
    </row>
    <row r="441" spans="1:28">
      <c r="A441" s="5">
        <v>10440</v>
      </c>
      <c r="B441" s="5">
        <v>1037</v>
      </c>
      <c r="C441" s="6">
        <v>45149</v>
      </c>
      <c r="D441" s="6">
        <v>45149</v>
      </c>
      <c r="E441" s="5" t="s">
        <v>103</v>
      </c>
      <c r="F441" s="5" t="s">
        <v>127</v>
      </c>
      <c r="G441" s="5" t="s">
        <v>83</v>
      </c>
      <c r="H441" s="5" t="s">
        <v>108</v>
      </c>
      <c r="I441" s="5" t="s">
        <v>115</v>
      </c>
      <c r="J441" s="5" t="s">
        <v>116</v>
      </c>
      <c r="K441" s="5" t="s">
        <v>99</v>
      </c>
      <c r="L441" s="5">
        <v>1</v>
      </c>
      <c r="M441" s="5">
        <v>3775.07</v>
      </c>
      <c r="N441" s="5">
        <v>10</v>
      </c>
      <c r="O441" s="5">
        <v>3397.56</v>
      </c>
      <c r="P441">
        <f t="shared" si="78"/>
        <v>3775.07</v>
      </c>
      <c r="Q441">
        <f t="shared" si="79"/>
        <v>377.507</v>
      </c>
      <c r="R441">
        <f t="shared" si="80"/>
        <v>3397.563</v>
      </c>
      <c r="S441" t="str">
        <f t="shared" si="81"/>
        <v>Low</v>
      </c>
      <c r="T441" t="str">
        <f t="shared" si="82"/>
        <v>Low</v>
      </c>
      <c r="U441" t="str">
        <f t="shared" si="83"/>
        <v>Heavy Discount</v>
      </c>
      <c r="V441" t="str">
        <f t="shared" si="84"/>
        <v>Average</v>
      </c>
      <c r="W441">
        <f t="shared" si="85"/>
        <v>99</v>
      </c>
      <c r="X441">
        <f t="shared" si="86"/>
        <v>106</v>
      </c>
      <c r="Y441">
        <f t="shared" si="87"/>
        <v>7</v>
      </c>
      <c r="Z441" t="str">
        <f t="shared" si="88"/>
        <v>Not Eligible</v>
      </c>
      <c r="AA441" t="str">
        <f t="shared" si="89"/>
        <v>Normal Order</v>
      </c>
      <c r="AB441" t="str">
        <f t="shared" si="90"/>
        <v>Online</v>
      </c>
    </row>
    <row r="442" spans="1:28">
      <c r="A442" s="5">
        <v>10441</v>
      </c>
      <c r="B442" s="5">
        <v>1229</v>
      </c>
      <c r="C442" s="6">
        <v>45119</v>
      </c>
      <c r="D442" s="6">
        <v>45119</v>
      </c>
      <c r="E442" s="5" t="s">
        <v>82</v>
      </c>
      <c r="F442" s="5" t="s">
        <v>89</v>
      </c>
      <c r="G442" s="5" t="s">
        <v>83</v>
      </c>
      <c r="H442" s="5" t="s">
        <v>108</v>
      </c>
      <c r="I442" s="5" t="s">
        <v>97</v>
      </c>
      <c r="J442" s="5" t="s">
        <v>140</v>
      </c>
      <c r="K442" s="5" t="s">
        <v>111</v>
      </c>
      <c r="L442" s="5">
        <v>3</v>
      </c>
      <c r="M442" s="5">
        <v>2189.4</v>
      </c>
      <c r="N442" s="5">
        <v>20</v>
      </c>
      <c r="O442" s="5">
        <v>5254.56</v>
      </c>
      <c r="P442">
        <f t="shared" si="78"/>
        <v>6568.2</v>
      </c>
      <c r="Q442">
        <f t="shared" si="79"/>
        <v>1313.64</v>
      </c>
      <c r="R442">
        <f t="shared" si="80"/>
        <v>5254.56</v>
      </c>
      <c r="S442" t="str">
        <f t="shared" si="81"/>
        <v>Low</v>
      </c>
      <c r="T442" t="str">
        <f t="shared" si="82"/>
        <v>Low</v>
      </c>
      <c r="U442" t="str">
        <f t="shared" si="83"/>
        <v>Heavy Discount</v>
      </c>
      <c r="V442" t="str">
        <f t="shared" si="84"/>
        <v>Good</v>
      </c>
      <c r="W442">
        <f t="shared" si="85"/>
        <v>99</v>
      </c>
      <c r="X442">
        <f t="shared" si="86"/>
        <v>106</v>
      </c>
      <c r="Y442">
        <f t="shared" si="87"/>
        <v>6</v>
      </c>
      <c r="Z442" t="str">
        <f t="shared" si="88"/>
        <v>Not Eligible</v>
      </c>
      <c r="AA442" t="str">
        <f t="shared" si="89"/>
        <v>Normal Order</v>
      </c>
      <c r="AB442" t="str">
        <f t="shared" si="90"/>
        <v>Online</v>
      </c>
    </row>
    <row r="443" spans="1:28">
      <c r="A443" s="5">
        <v>10442</v>
      </c>
      <c r="B443" s="5">
        <v>1364</v>
      </c>
      <c r="C443" s="6">
        <v>45094</v>
      </c>
      <c r="D443" s="6">
        <v>45094</v>
      </c>
      <c r="E443" s="5" t="s">
        <v>81</v>
      </c>
      <c r="F443" s="5" t="s">
        <v>89</v>
      </c>
      <c r="G443" s="5" t="s">
        <v>90</v>
      </c>
      <c r="H443" s="5" t="s">
        <v>101</v>
      </c>
      <c r="I443" s="5" t="s">
        <v>132</v>
      </c>
      <c r="J443" s="5" t="s">
        <v>133</v>
      </c>
      <c r="K443" s="5" t="s">
        <v>111</v>
      </c>
      <c r="L443" s="5">
        <v>9</v>
      </c>
      <c r="M443" s="5">
        <v>2969.7</v>
      </c>
      <c r="N443" s="5">
        <v>10</v>
      </c>
      <c r="O443" s="5">
        <v>24054.57</v>
      </c>
      <c r="P443">
        <f t="shared" si="78"/>
        <v>26727.3</v>
      </c>
      <c r="Q443">
        <f t="shared" si="79"/>
        <v>2672.73</v>
      </c>
      <c r="R443">
        <f t="shared" si="80"/>
        <v>24054.57</v>
      </c>
      <c r="S443" t="str">
        <f t="shared" si="81"/>
        <v>High</v>
      </c>
      <c r="T443" t="str">
        <f t="shared" si="82"/>
        <v>High</v>
      </c>
      <c r="U443" t="str">
        <f t="shared" si="83"/>
        <v>Heavy Discount</v>
      </c>
      <c r="V443" t="str">
        <f t="shared" si="84"/>
        <v>Excellent Sales</v>
      </c>
      <c r="W443">
        <f t="shared" si="85"/>
        <v>99</v>
      </c>
      <c r="X443">
        <f t="shared" si="86"/>
        <v>106</v>
      </c>
      <c r="Y443">
        <f t="shared" si="87"/>
        <v>6</v>
      </c>
      <c r="Z443" t="str">
        <f t="shared" si="88"/>
        <v>Not Eligible</v>
      </c>
      <c r="AA443" t="str">
        <f t="shared" si="89"/>
        <v>Prriority Order</v>
      </c>
      <c r="AB443" t="str">
        <f t="shared" si="90"/>
        <v>Online</v>
      </c>
    </row>
    <row r="444" spans="1:28">
      <c r="A444" s="5">
        <v>10443</v>
      </c>
      <c r="B444" s="5">
        <v>1562</v>
      </c>
      <c r="C444" s="6">
        <v>45109</v>
      </c>
      <c r="D444" s="6">
        <v>45109</v>
      </c>
      <c r="E444" s="5" t="s">
        <v>106</v>
      </c>
      <c r="F444" s="5" t="s">
        <v>127</v>
      </c>
      <c r="G444" s="5" t="s">
        <v>83</v>
      </c>
      <c r="H444" s="5" t="s">
        <v>110</v>
      </c>
      <c r="I444" s="5" t="s">
        <v>97</v>
      </c>
      <c r="J444" s="5" t="s">
        <v>140</v>
      </c>
      <c r="K444" s="5" t="s">
        <v>113</v>
      </c>
      <c r="L444" s="5">
        <v>5</v>
      </c>
      <c r="M444" s="5">
        <v>3707.81</v>
      </c>
      <c r="N444" s="5">
        <v>0</v>
      </c>
      <c r="O444" s="5">
        <v>18539.05</v>
      </c>
      <c r="P444">
        <f t="shared" si="78"/>
        <v>18539.05</v>
      </c>
      <c r="Q444">
        <f t="shared" si="79"/>
        <v>0</v>
      </c>
      <c r="R444">
        <f t="shared" si="80"/>
        <v>18539.05</v>
      </c>
      <c r="S444" t="str">
        <f t="shared" si="81"/>
        <v>High</v>
      </c>
      <c r="T444" t="str">
        <f t="shared" si="82"/>
        <v>Medium</v>
      </c>
      <c r="U444" t="str">
        <f t="shared" si="83"/>
        <v>Normal Discount</v>
      </c>
      <c r="V444" t="str">
        <f t="shared" si="84"/>
        <v>Excellent Sales</v>
      </c>
      <c r="W444">
        <f t="shared" si="85"/>
        <v>99</v>
      </c>
      <c r="X444">
        <f t="shared" si="86"/>
        <v>106</v>
      </c>
      <c r="Y444">
        <f t="shared" si="87"/>
        <v>6</v>
      </c>
      <c r="Z444" t="str">
        <f t="shared" si="88"/>
        <v>Eligible</v>
      </c>
      <c r="AA444" t="str">
        <f t="shared" si="89"/>
        <v>Prriority Order</v>
      </c>
      <c r="AB444" t="str">
        <f t="shared" si="90"/>
        <v>Online</v>
      </c>
    </row>
    <row r="445" spans="1:28">
      <c r="A445" s="5">
        <v>10444</v>
      </c>
      <c r="B445" s="5">
        <v>1437</v>
      </c>
      <c r="C445" s="6">
        <v>44969</v>
      </c>
      <c r="D445" s="6">
        <v>44969</v>
      </c>
      <c r="E445" s="5" t="s">
        <v>106</v>
      </c>
      <c r="F445" s="5" t="s">
        <v>104</v>
      </c>
      <c r="G445" s="5" t="s">
        <v>96</v>
      </c>
      <c r="H445" s="5" t="s">
        <v>84</v>
      </c>
      <c r="I445" s="5" t="s">
        <v>97</v>
      </c>
      <c r="J445" s="5" t="s">
        <v>98</v>
      </c>
      <c r="K445" s="5" t="s">
        <v>87</v>
      </c>
      <c r="L445" s="5">
        <v>2</v>
      </c>
      <c r="M445" s="5">
        <v>3904.44</v>
      </c>
      <c r="N445" s="5">
        <v>10</v>
      </c>
      <c r="O445" s="5">
        <v>7027.99</v>
      </c>
      <c r="P445">
        <f t="shared" si="78"/>
        <v>7808.88</v>
      </c>
      <c r="Q445">
        <f t="shared" si="79"/>
        <v>780.888</v>
      </c>
      <c r="R445">
        <f t="shared" si="80"/>
        <v>7027.992</v>
      </c>
      <c r="S445" t="str">
        <f t="shared" si="81"/>
        <v>Low</v>
      </c>
      <c r="T445" t="str">
        <f t="shared" si="82"/>
        <v>Low</v>
      </c>
      <c r="U445" t="str">
        <f t="shared" si="83"/>
        <v>Heavy Discount</v>
      </c>
      <c r="V445" t="str">
        <f t="shared" si="84"/>
        <v>Excellent Sales</v>
      </c>
      <c r="W445">
        <f t="shared" si="85"/>
        <v>99</v>
      </c>
      <c r="X445">
        <f t="shared" si="86"/>
        <v>106</v>
      </c>
      <c r="Y445">
        <f t="shared" si="87"/>
        <v>6</v>
      </c>
      <c r="Z445" t="str">
        <f t="shared" si="88"/>
        <v>Not Eligible</v>
      </c>
      <c r="AA445" t="str">
        <f t="shared" si="89"/>
        <v>Prriority Order</v>
      </c>
      <c r="AB445" t="str">
        <f t="shared" si="90"/>
        <v/>
      </c>
    </row>
    <row r="446" spans="1:28">
      <c r="A446" s="5">
        <v>10445</v>
      </c>
      <c r="B446" s="5">
        <v>1775</v>
      </c>
      <c r="C446" s="6">
        <v>44976</v>
      </c>
      <c r="D446" s="6">
        <v>44976</v>
      </c>
      <c r="E446" s="5" t="s">
        <v>103</v>
      </c>
      <c r="F446" s="5" t="s">
        <v>127</v>
      </c>
      <c r="G446" s="5" t="s">
        <v>83</v>
      </c>
      <c r="H446" s="5" t="s">
        <v>84</v>
      </c>
      <c r="I446" s="5" t="s">
        <v>97</v>
      </c>
      <c r="J446" s="5" t="s">
        <v>114</v>
      </c>
      <c r="K446" s="5" t="s">
        <v>113</v>
      </c>
      <c r="L446" s="5">
        <v>7</v>
      </c>
      <c r="M446" s="5">
        <v>3357.84</v>
      </c>
      <c r="N446" s="5">
        <v>15</v>
      </c>
      <c r="O446" s="5">
        <v>19979.15</v>
      </c>
      <c r="P446">
        <f t="shared" si="78"/>
        <v>23504.88</v>
      </c>
      <c r="Q446">
        <f t="shared" si="79"/>
        <v>3525.732</v>
      </c>
      <c r="R446">
        <f t="shared" si="80"/>
        <v>19979.148</v>
      </c>
      <c r="S446" t="str">
        <f t="shared" si="81"/>
        <v>High</v>
      </c>
      <c r="T446" t="str">
        <f t="shared" si="82"/>
        <v>High</v>
      </c>
      <c r="U446" t="str">
        <f t="shared" si="83"/>
        <v>Heavy Discount</v>
      </c>
      <c r="V446" t="str">
        <f t="shared" si="84"/>
        <v>Excellent Sales</v>
      </c>
      <c r="W446">
        <f t="shared" si="85"/>
        <v>99</v>
      </c>
      <c r="X446">
        <f t="shared" si="86"/>
        <v>106</v>
      </c>
      <c r="Y446">
        <f t="shared" si="87"/>
        <v>6</v>
      </c>
      <c r="Z446" t="str">
        <f t="shared" si="88"/>
        <v>Not Eligible</v>
      </c>
      <c r="AA446" t="str">
        <f t="shared" si="89"/>
        <v>Prriority Order</v>
      </c>
      <c r="AB446" t="str">
        <f t="shared" si="90"/>
        <v>Online</v>
      </c>
    </row>
    <row r="447" spans="1:28">
      <c r="A447" s="5">
        <v>10446</v>
      </c>
      <c r="B447" s="5">
        <v>1282</v>
      </c>
      <c r="C447" s="6">
        <v>45239</v>
      </c>
      <c r="D447" s="6">
        <v>45239</v>
      </c>
      <c r="E447" s="5" t="s">
        <v>106</v>
      </c>
      <c r="F447" s="5" t="s">
        <v>89</v>
      </c>
      <c r="G447" s="5" t="s">
        <v>83</v>
      </c>
      <c r="H447" s="5" t="s">
        <v>108</v>
      </c>
      <c r="I447" s="5" t="s">
        <v>92</v>
      </c>
      <c r="J447" s="5" t="s">
        <v>93</v>
      </c>
      <c r="K447" s="5" t="s">
        <v>94</v>
      </c>
      <c r="L447" s="5">
        <v>2</v>
      </c>
      <c r="M447" s="5">
        <v>1316.62</v>
      </c>
      <c r="N447" s="5">
        <v>0</v>
      </c>
      <c r="O447" s="5">
        <v>2633.24</v>
      </c>
      <c r="P447">
        <f t="shared" si="78"/>
        <v>2633.24</v>
      </c>
      <c r="Q447">
        <f t="shared" si="79"/>
        <v>0</v>
      </c>
      <c r="R447">
        <f t="shared" si="80"/>
        <v>2633.24</v>
      </c>
      <c r="S447" t="str">
        <f t="shared" si="81"/>
        <v>Low</v>
      </c>
      <c r="T447" t="str">
        <f t="shared" si="82"/>
        <v>Low</v>
      </c>
      <c r="U447" t="str">
        <f t="shared" si="83"/>
        <v>Normal Discount</v>
      </c>
      <c r="V447" t="str">
        <f t="shared" si="84"/>
        <v>Average</v>
      </c>
      <c r="W447">
        <f t="shared" si="85"/>
        <v>99</v>
      </c>
      <c r="X447">
        <f t="shared" si="86"/>
        <v>106</v>
      </c>
      <c r="Y447">
        <f t="shared" si="87"/>
        <v>6</v>
      </c>
      <c r="Z447" t="str">
        <f t="shared" si="88"/>
        <v>Eligible</v>
      </c>
      <c r="AA447" t="str">
        <f t="shared" si="89"/>
        <v>Normal Order</v>
      </c>
      <c r="AB447" t="str">
        <f t="shared" si="90"/>
        <v>Online</v>
      </c>
    </row>
    <row r="448" spans="1:28">
      <c r="A448" s="5">
        <v>10447</v>
      </c>
      <c r="B448" s="5">
        <v>1026</v>
      </c>
      <c r="C448" s="6">
        <v>45265</v>
      </c>
      <c r="D448" s="6">
        <v>45265</v>
      </c>
      <c r="E448" s="5" t="s">
        <v>100</v>
      </c>
      <c r="F448" s="5" t="s">
        <v>104</v>
      </c>
      <c r="G448" s="5" t="s">
        <v>83</v>
      </c>
      <c r="H448" s="5" t="s">
        <v>101</v>
      </c>
      <c r="I448" s="5" t="s">
        <v>92</v>
      </c>
      <c r="J448" s="5" t="s">
        <v>144</v>
      </c>
      <c r="K448" s="5" t="s">
        <v>94</v>
      </c>
      <c r="L448" s="5">
        <v>4</v>
      </c>
      <c r="M448" s="5">
        <v>3871.21</v>
      </c>
      <c r="N448" s="5">
        <v>10</v>
      </c>
      <c r="O448" s="5">
        <v>13936.36</v>
      </c>
      <c r="P448">
        <f t="shared" si="78"/>
        <v>15484.84</v>
      </c>
      <c r="Q448">
        <f t="shared" si="79"/>
        <v>1548.484</v>
      </c>
      <c r="R448">
        <f t="shared" si="80"/>
        <v>13936.356</v>
      </c>
      <c r="S448" t="str">
        <f t="shared" si="81"/>
        <v>Low</v>
      </c>
      <c r="T448" t="str">
        <f t="shared" si="82"/>
        <v>Low</v>
      </c>
      <c r="U448" t="str">
        <f t="shared" si="83"/>
        <v>Heavy Discount</v>
      </c>
      <c r="V448" t="str">
        <f t="shared" si="84"/>
        <v>Excellent Sales</v>
      </c>
      <c r="W448">
        <f t="shared" si="85"/>
        <v>99</v>
      </c>
      <c r="X448">
        <f t="shared" si="86"/>
        <v>106</v>
      </c>
      <c r="Y448">
        <f t="shared" si="87"/>
        <v>6</v>
      </c>
      <c r="Z448" t="str">
        <f t="shared" si="88"/>
        <v>Not Eligible</v>
      </c>
      <c r="AA448" t="str">
        <f t="shared" si="89"/>
        <v>Prriority Order</v>
      </c>
      <c r="AB448" t="str">
        <f t="shared" si="90"/>
        <v>Online</v>
      </c>
    </row>
    <row r="449" spans="1:28">
      <c r="A449" s="5">
        <v>10448</v>
      </c>
      <c r="B449" s="5">
        <v>1225</v>
      </c>
      <c r="C449" s="6">
        <v>45247</v>
      </c>
      <c r="D449" s="6">
        <v>45247</v>
      </c>
      <c r="E449" s="5" t="s">
        <v>106</v>
      </c>
      <c r="F449" s="5" t="s">
        <v>104</v>
      </c>
      <c r="G449" s="5" t="s">
        <v>96</v>
      </c>
      <c r="H449" s="5" t="s">
        <v>84</v>
      </c>
      <c r="I449" s="5" t="s">
        <v>85</v>
      </c>
      <c r="J449" s="5" t="s">
        <v>86</v>
      </c>
      <c r="K449" s="5" t="s">
        <v>99</v>
      </c>
      <c r="L449" s="5">
        <v>7</v>
      </c>
      <c r="M449" s="5">
        <v>2568.26</v>
      </c>
      <c r="N449" s="5">
        <v>10</v>
      </c>
      <c r="O449" s="5">
        <v>16180.04</v>
      </c>
      <c r="P449">
        <f t="shared" si="78"/>
        <v>17977.82</v>
      </c>
      <c r="Q449">
        <f t="shared" si="79"/>
        <v>1797.782</v>
      </c>
      <c r="R449">
        <f t="shared" si="80"/>
        <v>16180.038</v>
      </c>
      <c r="S449" t="str">
        <f t="shared" si="81"/>
        <v>High</v>
      </c>
      <c r="T449" t="str">
        <f t="shared" si="82"/>
        <v>High</v>
      </c>
      <c r="U449" t="str">
        <f t="shared" si="83"/>
        <v>Heavy Discount</v>
      </c>
      <c r="V449" t="str">
        <f t="shared" si="84"/>
        <v>Excellent Sales</v>
      </c>
      <c r="W449">
        <f t="shared" si="85"/>
        <v>99</v>
      </c>
      <c r="X449">
        <f t="shared" si="86"/>
        <v>106</v>
      </c>
      <c r="Y449">
        <f t="shared" si="87"/>
        <v>6</v>
      </c>
      <c r="Z449" t="str">
        <f t="shared" si="88"/>
        <v>Not Eligible</v>
      </c>
      <c r="AA449" t="str">
        <f t="shared" si="89"/>
        <v>Prriority Order</v>
      </c>
      <c r="AB449" t="str">
        <f t="shared" si="90"/>
        <v/>
      </c>
    </row>
    <row r="450" spans="1:28">
      <c r="A450" s="5">
        <v>10449</v>
      </c>
      <c r="B450" s="5">
        <v>1276</v>
      </c>
      <c r="C450" s="6">
        <v>45008</v>
      </c>
      <c r="D450" s="6">
        <v>45008</v>
      </c>
      <c r="E450" s="5" t="s">
        <v>82</v>
      </c>
      <c r="F450" s="5" t="s">
        <v>127</v>
      </c>
      <c r="G450" s="5" t="s">
        <v>90</v>
      </c>
      <c r="H450" s="5" t="s">
        <v>84</v>
      </c>
      <c r="I450" s="5" t="s">
        <v>85</v>
      </c>
      <c r="J450" s="5" t="s">
        <v>141</v>
      </c>
      <c r="K450" s="5" t="s">
        <v>99</v>
      </c>
      <c r="L450" s="5">
        <v>4</v>
      </c>
      <c r="M450" s="5">
        <v>3732.97</v>
      </c>
      <c r="N450" s="5">
        <v>5</v>
      </c>
      <c r="O450" s="5">
        <v>14185.29</v>
      </c>
      <c r="P450">
        <f t="shared" si="78"/>
        <v>14931.88</v>
      </c>
      <c r="Q450">
        <f t="shared" si="79"/>
        <v>746.594</v>
      </c>
      <c r="R450">
        <f t="shared" si="80"/>
        <v>14185.286</v>
      </c>
      <c r="S450" t="str">
        <f t="shared" si="81"/>
        <v>Low</v>
      </c>
      <c r="T450" t="str">
        <f t="shared" si="82"/>
        <v>Low</v>
      </c>
      <c r="U450" t="str">
        <f t="shared" si="83"/>
        <v>Heavy Discount</v>
      </c>
      <c r="V450" t="str">
        <f t="shared" si="84"/>
        <v>Excellent Sales</v>
      </c>
      <c r="W450">
        <f t="shared" si="85"/>
        <v>99</v>
      </c>
      <c r="X450">
        <f t="shared" si="86"/>
        <v>106</v>
      </c>
      <c r="Y450">
        <f t="shared" si="87"/>
        <v>6</v>
      </c>
      <c r="Z450" t="str">
        <f t="shared" si="88"/>
        <v>Not Eligible</v>
      </c>
      <c r="AA450" t="str">
        <f t="shared" si="89"/>
        <v>Prriority Order</v>
      </c>
      <c r="AB450" t="str">
        <f t="shared" si="90"/>
        <v>Online</v>
      </c>
    </row>
    <row r="451" spans="1:28">
      <c r="A451" s="5">
        <v>10450</v>
      </c>
      <c r="B451" s="5">
        <v>1797</v>
      </c>
      <c r="C451" s="6">
        <v>45209</v>
      </c>
      <c r="D451" s="6">
        <v>45209</v>
      </c>
      <c r="E451" s="5" t="s">
        <v>82</v>
      </c>
      <c r="F451" s="5" t="s">
        <v>89</v>
      </c>
      <c r="G451" s="5" t="s">
        <v>96</v>
      </c>
      <c r="H451" s="5" t="s">
        <v>110</v>
      </c>
      <c r="I451" s="5" t="s">
        <v>97</v>
      </c>
      <c r="J451" s="5" t="s">
        <v>98</v>
      </c>
      <c r="K451" s="5" t="s">
        <v>94</v>
      </c>
      <c r="L451" s="5">
        <v>7</v>
      </c>
      <c r="M451" s="5">
        <v>2753</v>
      </c>
      <c r="N451" s="5">
        <v>20</v>
      </c>
      <c r="O451" s="5">
        <v>15416.8</v>
      </c>
      <c r="P451">
        <f t="shared" ref="P451:P501" si="91">L451*M451</f>
        <v>19271</v>
      </c>
      <c r="Q451">
        <f t="shared" ref="Q451:Q501" si="92">P451*(N451/100)</f>
        <v>3854.2</v>
      </c>
      <c r="R451">
        <f t="shared" ref="R451:R501" si="93">P451-Q451</f>
        <v>15416.8</v>
      </c>
      <c r="S451" t="str">
        <f t="shared" ref="S451:S501" si="94">IF(L451&gt;=5,"High","Low")</f>
        <v>High</v>
      </c>
      <c r="T451" t="str">
        <f t="shared" ref="T451:T501" si="95">IF(L451&gt;5,"High",IF(L451=5,"Medium","Low"))</f>
        <v>High</v>
      </c>
      <c r="U451" t="str">
        <f t="shared" ref="U451:U501" si="96">IF(N451&gt;10%,"Heavy Discount","Normal Discount")</f>
        <v>Heavy Discount</v>
      </c>
      <c r="V451" t="str">
        <f t="shared" ref="V451:V501" si="97">IF(O451&gt;=7000,"Excellent Sales",IF(O451&gt;=4000,"Good","Average"))</f>
        <v>Excellent Sales</v>
      </c>
      <c r="W451">
        <f t="shared" ref="W451:W501" si="98">COUNTIF($I$2:$I$501,"Beauty")</f>
        <v>99</v>
      </c>
      <c r="X451">
        <f t="shared" ref="X451:X501" si="99">COUNTIF($N$2:$N$501,"&gt;15")</f>
        <v>106</v>
      </c>
      <c r="Y451">
        <f t="shared" ref="Y451:Y501" si="100">COUNTIFS(I451:I950,"Electronics",G451:G950,"&lt;&gt;Marketplace")</f>
        <v>6</v>
      </c>
      <c r="Z451" t="str">
        <f t="shared" ref="Z451:Z501" si="101">IF(AND(O451:O950,N451&lt;10%),"Eligible","Not Eligible")</f>
        <v>Not Eligible</v>
      </c>
      <c r="AA451" t="str">
        <f t="shared" ref="AA451:AA501" si="102">IF(OR(O451&gt;7000,L451&gt;5),"Prriority Order","Normal Order")</f>
        <v>Prriority Order</v>
      </c>
      <c r="AB451" t="str">
        <f t="shared" ref="AB451:AB501" si="103">IF(G451&lt;&gt;"Marketplace","Online","")</f>
        <v/>
      </c>
    </row>
    <row r="452" spans="1:28">
      <c r="A452" s="5">
        <v>10451</v>
      </c>
      <c r="B452" s="5">
        <v>1608</v>
      </c>
      <c r="C452" s="6">
        <v>45110</v>
      </c>
      <c r="D452" s="6">
        <v>45110</v>
      </c>
      <c r="E452" s="5" t="s">
        <v>81</v>
      </c>
      <c r="F452" s="5" t="s">
        <v>95</v>
      </c>
      <c r="G452" s="5" t="s">
        <v>90</v>
      </c>
      <c r="H452" s="5" t="s">
        <v>91</v>
      </c>
      <c r="I452" s="5" t="s">
        <v>132</v>
      </c>
      <c r="J452" s="5" t="s">
        <v>134</v>
      </c>
      <c r="K452" s="5" t="s">
        <v>94</v>
      </c>
      <c r="L452" s="5">
        <v>7</v>
      </c>
      <c r="M452" s="5">
        <v>1332.87</v>
      </c>
      <c r="N452" s="5">
        <v>0</v>
      </c>
      <c r="O452" s="5">
        <v>9330.09</v>
      </c>
      <c r="P452">
        <f t="shared" si="91"/>
        <v>9330.09</v>
      </c>
      <c r="Q452">
        <f t="shared" si="92"/>
        <v>0</v>
      </c>
      <c r="R452">
        <f t="shared" si="93"/>
        <v>9330.09</v>
      </c>
      <c r="S452" t="str">
        <f t="shared" si="94"/>
        <v>High</v>
      </c>
      <c r="T452" t="str">
        <f t="shared" si="95"/>
        <v>High</v>
      </c>
      <c r="U452" t="str">
        <f t="shared" si="96"/>
        <v>Normal Discount</v>
      </c>
      <c r="V452" t="str">
        <f t="shared" si="97"/>
        <v>Excellent Sales</v>
      </c>
      <c r="W452">
        <f t="shared" si="98"/>
        <v>99</v>
      </c>
      <c r="X452">
        <f t="shared" si="99"/>
        <v>106</v>
      </c>
      <c r="Y452">
        <f t="shared" si="100"/>
        <v>6</v>
      </c>
      <c r="Z452" t="str">
        <f t="shared" si="101"/>
        <v>Eligible</v>
      </c>
      <c r="AA452" t="str">
        <f t="shared" si="102"/>
        <v>Prriority Order</v>
      </c>
      <c r="AB452" t="str">
        <f t="shared" si="103"/>
        <v>Online</v>
      </c>
    </row>
    <row r="453" spans="1:28">
      <c r="A453" s="5">
        <v>10452</v>
      </c>
      <c r="B453" s="5">
        <v>1283</v>
      </c>
      <c r="C453" s="6">
        <v>45082</v>
      </c>
      <c r="D453" s="6">
        <v>45082</v>
      </c>
      <c r="E453" s="5" t="s">
        <v>112</v>
      </c>
      <c r="F453" s="5" t="s">
        <v>89</v>
      </c>
      <c r="G453" s="5" t="s">
        <v>90</v>
      </c>
      <c r="H453" s="5" t="s">
        <v>108</v>
      </c>
      <c r="I453" s="5" t="s">
        <v>115</v>
      </c>
      <c r="J453" s="5" t="s">
        <v>143</v>
      </c>
      <c r="K453" s="5" t="s">
        <v>94</v>
      </c>
      <c r="L453" s="5">
        <v>1</v>
      </c>
      <c r="M453" s="5">
        <v>1574.59</v>
      </c>
      <c r="N453" s="5">
        <v>5</v>
      </c>
      <c r="O453" s="5">
        <v>1495.86</v>
      </c>
      <c r="P453">
        <f t="shared" si="91"/>
        <v>1574.59</v>
      </c>
      <c r="Q453">
        <f t="shared" si="92"/>
        <v>78.7295</v>
      </c>
      <c r="R453">
        <f t="shared" si="93"/>
        <v>1495.8605</v>
      </c>
      <c r="S453" t="str">
        <f t="shared" si="94"/>
        <v>Low</v>
      </c>
      <c r="T453" t="str">
        <f t="shared" si="95"/>
        <v>Low</v>
      </c>
      <c r="U453" t="str">
        <f t="shared" si="96"/>
        <v>Heavy Discount</v>
      </c>
      <c r="V453" t="str">
        <f t="shared" si="97"/>
        <v>Average</v>
      </c>
      <c r="W453">
        <f t="shared" si="98"/>
        <v>99</v>
      </c>
      <c r="X453">
        <f t="shared" si="99"/>
        <v>106</v>
      </c>
      <c r="Y453">
        <f t="shared" si="100"/>
        <v>6</v>
      </c>
      <c r="Z453" t="str">
        <f t="shared" si="101"/>
        <v>Not Eligible</v>
      </c>
      <c r="AA453" t="str">
        <f t="shared" si="102"/>
        <v>Normal Order</v>
      </c>
      <c r="AB453" t="str">
        <f t="shared" si="103"/>
        <v>Online</v>
      </c>
    </row>
    <row r="454" spans="1:28">
      <c r="A454" s="5">
        <v>10453</v>
      </c>
      <c r="B454" s="5">
        <v>1878</v>
      </c>
      <c r="C454" s="6">
        <v>45203</v>
      </c>
      <c r="D454" s="6">
        <v>45203</v>
      </c>
      <c r="E454" s="5" t="s">
        <v>88</v>
      </c>
      <c r="F454" s="5" t="s">
        <v>82</v>
      </c>
      <c r="G454" s="5" t="s">
        <v>90</v>
      </c>
      <c r="H454" s="5" t="s">
        <v>108</v>
      </c>
      <c r="I454" s="5" t="s">
        <v>92</v>
      </c>
      <c r="J454" s="5" t="s">
        <v>93</v>
      </c>
      <c r="K454" s="5" t="s">
        <v>113</v>
      </c>
      <c r="L454" s="5">
        <v>6</v>
      </c>
      <c r="M454" s="5">
        <v>2269.32</v>
      </c>
      <c r="N454" s="5">
        <v>15</v>
      </c>
      <c r="O454" s="5">
        <v>11573.53</v>
      </c>
      <c r="P454">
        <f t="shared" si="91"/>
        <v>13615.92</v>
      </c>
      <c r="Q454">
        <f t="shared" si="92"/>
        <v>2042.388</v>
      </c>
      <c r="R454">
        <f t="shared" si="93"/>
        <v>11573.532</v>
      </c>
      <c r="S454" t="str">
        <f t="shared" si="94"/>
        <v>High</v>
      </c>
      <c r="T454" t="str">
        <f t="shared" si="95"/>
        <v>High</v>
      </c>
      <c r="U454" t="str">
        <f t="shared" si="96"/>
        <v>Heavy Discount</v>
      </c>
      <c r="V454" t="str">
        <f t="shared" si="97"/>
        <v>Excellent Sales</v>
      </c>
      <c r="W454">
        <f t="shared" si="98"/>
        <v>99</v>
      </c>
      <c r="X454">
        <f t="shared" si="99"/>
        <v>106</v>
      </c>
      <c r="Y454">
        <f t="shared" si="100"/>
        <v>5</v>
      </c>
      <c r="Z454" t="str">
        <f t="shared" si="101"/>
        <v>Not Eligible</v>
      </c>
      <c r="AA454" t="str">
        <f t="shared" si="102"/>
        <v>Prriority Order</v>
      </c>
      <c r="AB454" t="str">
        <f t="shared" si="103"/>
        <v>Online</v>
      </c>
    </row>
    <row r="455" spans="1:28">
      <c r="A455" s="5">
        <v>10454</v>
      </c>
      <c r="B455" s="5">
        <v>1959</v>
      </c>
      <c r="C455" s="6">
        <v>45255</v>
      </c>
      <c r="D455" s="6">
        <v>45255</v>
      </c>
      <c r="E455" s="5" t="s">
        <v>100</v>
      </c>
      <c r="F455" s="5" t="s">
        <v>107</v>
      </c>
      <c r="G455" s="5" t="s">
        <v>83</v>
      </c>
      <c r="H455" s="5" t="s">
        <v>91</v>
      </c>
      <c r="I455" s="5" t="s">
        <v>132</v>
      </c>
      <c r="J455" s="5" t="s">
        <v>133</v>
      </c>
      <c r="K455" s="5" t="s">
        <v>94</v>
      </c>
      <c r="L455" s="5">
        <v>9</v>
      </c>
      <c r="M455" s="5">
        <v>3191.56</v>
      </c>
      <c r="N455" s="5">
        <v>20</v>
      </c>
      <c r="O455" s="5">
        <v>22979.23</v>
      </c>
      <c r="P455">
        <f t="shared" si="91"/>
        <v>28724.04</v>
      </c>
      <c r="Q455">
        <f t="shared" si="92"/>
        <v>5744.808</v>
      </c>
      <c r="R455">
        <f t="shared" si="93"/>
        <v>22979.232</v>
      </c>
      <c r="S455" t="str">
        <f t="shared" si="94"/>
        <v>High</v>
      </c>
      <c r="T455" t="str">
        <f t="shared" si="95"/>
        <v>High</v>
      </c>
      <c r="U455" t="str">
        <f t="shared" si="96"/>
        <v>Heavy Discount</v>
      </c>
      <c r="V455" t="str">
        <f t="shared" si="97"/>
        <v>Excellent Sales</v>
      </c>
      <c r="W455">
        <f t="shared" si="98"/>
        <v>99</v>
      </c>
      <c r="X455">
        <f t="shared" si="99"/>
        <v>106</v>
      </c>
      <c r="Y455">
        <f t="shared" si="100"/>
        <v>5</v>
      </c>
      <c r="Z455" t="str">
        <f t="shared" si="101"/>
        <v>Not Eligible</v>
      </c>
      <c r="AA455" t="str">
        <f t="shared" si="102"/>
        <v>Prriority Order</v>
      </c>
      <c r="AB455" t="str">
        <f t="shared" si="103"/>
        <v>Online</v>
      </c>
    </row>
    <row r="456" spans="1:28">
      <c r="A456" s="5">
        <v>10455</v>
      </c>
      <c r="B456" s="5">
        <v>1480</v>
      </c>
      <c r="C456" s="6">
        <v>45036</v>
      </c>
      <c r="D456" s="6">
        <v>45036</v>
      </c>
      <c r="E456" s="5" t="s">
        <v>81</v>
      </c>
      <c r="F456" s="5" t="s">
        <v>95</v>
      </c>
      <c r="G456" s="5" t="s">
        <v>83</v>
      </c>
      <c r="H456" s="5" t="s">
        <v>84</v>
      </c>
      <c r="I456" s="5" t="s">
        <v>123</v>
      </c>
      <c r="J456" s="5" t="s">
        <v>139</v>
      </c>
      <c r="K456" s="5" t="s">
        <v>111</v>
      </c>
      <c r="L456" s="5">
        <v>2</v>
      </c>
      <c r="M456" s="5">
        <v>1374.23</v>
      </c>
      <c r="N456" s="5">
        <v>0</v>
      </c>
      <c r="O456" s="5">
        <v>2748.46</v>
      </c>
      <c r="P456">
        <f t="shared" si="91"/>
        <v>2748.46</v>
      </c>
      <c r="Q456">
        <f t="shared" si="92"/>
        <v>0</v>
      </c>
      <c r="R456">
        <f t="shared" si="93"/>
        <v>2748.46</v>
      </c>
      <c r="S456" t="str">
        <f t="shared" si="94"/>
        <v>Low</v>
      </c>
      <c r="T456" t="str">
        <f t="shared" si="95"/>
        <v>Low</v>
      </c>
      <c r="U456" t="str">
        <f t="shared" si="96"/>
        <v>Normal Discount</v>
      </c>
      <c r="V456" t="str">
        <f t="shared" si="97"/>
        <v>Average</v>
      </c>
      <c r="W456">
        <f t="shared" si="98"/>
        <v>99</v>
      </c>
      <c r="X456">
        <f t="shared" si="99"/>
        <v>106</v>
      </c>
      <c r="Y456">
        <f t="shared" si="100"/>
        <v>5</v>
      </c>
      <c r="Z456" t="str">
        <f t="shared" si="101"/>
        <v>Eligible</v>
      </c>
      <c r="AA456" t="str">
        <f t="shared" si="102"/>
        <v>Normal Order</v>
      </c>
      <c r="AB456" t="str">
        <f t="shared" si="103"/>
        <v>Online</v>
      </c>
    </row>
    <row r="457" spans="1:28">
      <c r="A457" s="5">
        <v>10456</v>
      </c>
      <c r="B457" s="5">
        <v>1452</v>
      </c>
      <c r="C457" s="6">
        <v>45067</v>
      </c>
      <c r="D457" s="6">
        <v>45067</v>
      </c>
      <c r="E457" s="5" t="s">
        <v>100</v>
      </c>
      <c r="F457" s="5" t="s">
        <v>104</v>
      </c>
      <c r="G457" s="5" t="s">
        <v>90</v>
      </c>
      <c r="H457" s="5" t="s">
        <v>110</v>
      </c>
      <c r="I457" s="5" t="s">
        <v>92</v>
      </c>
      <c r="J457" s="5" t="s">
        <v>93</v>
      </c>
      <c r="K457" s="5" t="s">
        <v>87</v>
      </c>
      <c r="L457" s="5">
        <v>3</v>
      </c>
      <c r="M457" s="5">
        <v>2381.96</v>
      </c>
      <c r="N457" s="5">
        <v>10</v>
      </c>
      <c r="O457" s="5">
        <v>6431.29</v>
      </c>
      <c r="P457">
        <f t="shared" si="91"/>
        <v>7145.88</v>
      </c>
      <c r="Q457">
        <f t="shared" si="92"/>
        <v>714.588</v>
      </c>
      <c r="R457">
        <f t="shared" si="93"/>
        <v>6431.292</v>
      </c>
      <c r="S457" t="str">
        <f t="shared" si="94"/>
        <v>Low</v>
      </c>
      <c r="T457" t="str">
        <f t="shared" si="95"/>
        <v>Low</v>
      </c>
      <c r="U457" t="str">
        <f t="shared" si="96"/>
        <v>Heavy Discount</v>
      </c>
      <c r="V457" t="str">
        <f t="shared" si="97"/>
        <v>Good</v>
      </c>
      <c r="W457">
        <f t="shared" si="98"/>
        <v>99</v>
      </c>
      <c r="X457">
        <f t="shared" si="99"/>
        <v>106</v>
      </c>
      <c r="Y457">
        <f t="shared" si="100"/>
        <v>5</v>
      </c>
      <c r="Z457" t="str">
        <f t="shared" si="101"/>
        <v>Not Eligible</v>
      </c>
      <c r="AA457" t="str">
        <f t="shared" si="102"/>
        <v>Normal Order</v>
      </c>
      <c r="AB457" t="str">
        <f t="shared" si="103"/>
        <v>Online</v>
      </c>
    </row>
    <row r="458" spans="1:28">
      <c r="A458" s="5">
        <v>10457</v>
      </c>
      <c r="B458" s="5">
        <v>1828</v>
      </c>
      <c r="C458" s="6">
        <v>45280</v>
      </c>
      <c r="D458" s="6">
        <v>45280</v>
      </c>
      <c r="E458" s="5" t="s">
        <v>112</v>
      </c>
      <c r="F458" s="5" t="s">
        <v>95</v>
      </c>
      <c r="G458" s="5" t="s">
        <v>90</v>
      </c>
      <c r="H458" s="5" t="s">
        <v>110</v>
      </c>
      <c r="I458" s="5" t="s">
        <v>92</v>
      </c>
      <c r="J458" s="5" t="s">
        <v>93</v>
      </c>
      <c r="K458" s="5" t="s">
        <v>94</v>
      </c>
      <c r="L458" s="5">
        <v>5</v>
      </c>
      <c r="M458" s="5">
        <v>1480.66</v>
      </c>
      <c r="N458" s="5">
        <v>0</v>
      </c>
      <c r="O458" s="5">
        <v>7403.3</v>
      </c>
      <c r="P458">
        <f t="shared" si="91"/>
        <v>7403.3</v>
      </c>
      <c r="Q458">
        <f t="shared" si="92"/>
        <v>0</v>
      </c>
      <c r="R458">
        <f t="shared" si="93"/>
        <v>7403.3</v>
      </c>
      <c r="S458" t="str">
        <f t="shared" si="94"/>
        <v>High</v>
      </c>
      <c r="T458" t="str">
        <f t="shared" si="95"/>
        <v>Medium</v>
      </c>
      <c r="U458" t="str">
        <f t="shared" si="96"/>
        <v>Normal Discount</v>
      </c>
      <c r="V458" t="str">
        <f t="shared" si="97"/>
        <v>Excellent Sales</v>
      </c>
      <c r="W458">
        <f t="shared" si="98"/>
        <v>99</v>
      </c>
      <c r="X458">
        <f t="shared" si="99"/>
        <v>106</v>
      </c>
      <c r="Y458">
        <f t="shared" si="100"/>
        <v>5</v>
      </c>
      <c r="Z458" t="str">
        <f t="shared" si="101"/>
        <v>Eligible</v>
      </c>
      <c r="AA458" t="str">
        <f t="shared" si="102"/>
        <v>Prriority Order</v>
      </c>
      <c r="AB458" t="str">
        <f t="shared" si="103"/>
        <v>Online</v>
      </c>
    </row>
    <row r="459" spans="1:28">
      <c r="A459" s="5">
        <v>10458</v>
      </c>
      <c r="B459" s="5">
        <v>1815</v>
      </c>
      <c r="C459" s="6">
        <v>45202</v>
      </c>
      <c r="D459" s="6">
        <v>45202</v>
      </c>
      <c r="E459" s="5" t="s">
        <v>106</v>
      </c>
      <c r="F459" s="5" t="s">
        <v>104</v>
      </c>
      <c r="G459" s="5" t="s">
        <v>83</v>
      </c>
      <c r="H459" s="5" t="s">
        <v>108</v>
      </c>
      <c r="I459" s="5" t="s">
        <v>85</v>
      </c>
      <c r="J459" s="5" t="s">
        <v>129</v>
      </c>
      <c r="K459" s="5" t="s">
        <v>87</v>
      </c>
      <c r="L459" s="5">
        <v>9</v>
      </c>
      <c r="M459" s="5">
        <v>3290.71</v>
      </c>
      <c r="N459" s="5">
        <v>10</v>
      </c>
      <c r="O459" s="5">
        <v>26654.75</v>
      </c>
      <c r="P459">
        <f t="shared" si="91"/>
        <v>29616.39</v>
      </c>
      <c r="Q459">
        <f t="shared" si="92"/>
        <v>2961.639</v>
      </c>
      <c r="R459">
        <f t="shared" si="93"/>
        <v>26654.751</v>
      </c>
      <c r="S459" t="str">
        <f t="shared" si="94"/>
        <v>High</v>
      </c>
      <c r="T459" t="str">
        <f t="shared" si="95"/>
        <v>High</v>
      </c>
      <c r="U459" t="str">
        <f t="shared" si="96"/>
        <v>Heavy Discount</v>
      </c>
      <c r="V459" t="str">
        <f t="shared" si="97"/>
        <v>Excellent Sales</v>
      </c>
      <c r="W459">
        <f t="shared" si="98"/>
        <v>99</v>
      </c>
      <c r="X459">
        <f t="shared" si="99"/>
        <v>106</v>
      </c>
      <c r="Y459">
        <f t="shared" si="100"/>
        <v>5</v>
      </c>
      <c r="Z459" t="str">
        <f t="shared" si="101"/>
        <v>Not Eligible</v>
      </c>
      <c r="AA459" t="str">
        <f t="shared" si="102"/>
        <v>Prriority Order</v>
      </c>
      <c r="AB459" t="str">
        <f t="shared" si="103"/>
        <v>Online</v>
      </c>
    </row>
    <row r="460" spans="1:28">
      <c r="A460" s="5">
        <v>10459</v>
      </c>
      <c r="B460" s="5">
        <v>1658</v>
      </c>
      <c r="C460" s="6">
        <v>45281</v>
      </c>
      <c r="D460" s="6">
        <v>45281</v>
      </c>
      <c r="E460" s="5" t="s">
        <v>106</v>
      </c>
      <c r="F460" s="5" t="s">
        <v>104</v>
      </c>
      <c r="G460" s="5" t="s">
        <v>96</v>
      </c>
      <c r="H460" s="5" t="s">
        <v>110</v>
      </c>
      <c r="I460" s="5" t="s">
        <v>115</v>
      </c>
      <c r="J460" s="5" t="s">
        <v>138</v>
      </c>
      <c r="K460" s="5" t="s">
        <v>113</v>
      </c>
      <c r="L460" s="5">
        <v>4</v>
      </c>
      <c r="M460" s="5">
        <v>1946.9</v>
      </c>
      <c r="N460" s="5">
        <v>20</v>
      </c>
      <c r="O460" s="5">
        <v>6230.08</v>
      </c>
      <c r="P460">
        <f t="shared" si="91"/>
        <v>7787.6</v>
      </c>
      <c r="Q460">
        <f t="shared" si="92"/>
        <v>1557.52</v>
      </c>
      <c r="R460">
        <f t="shared" si="93"/>
        <v>6230.08</v>
      </c>
      <c r="S460" t="str">
        <f t="shared" si="94"/>
        <v>Low</v>
      </c>
      <c r="T460" t="str">
        <f t="shared" si="95"/>
        <v>Low</v>
      </c>
      <c r="U460" t="str">
        <f t="shared" si="96"/>
        <v>Heavy Discount</v>
      </c>
      <c r="V460" t="str">
        <f t="shared" si="97"/>
        <v>Good</v>
      </c>
      <c r="W460">
        <f t="shared" si="98"/>
        <v>99</v>
      </c>
      <c r="X460">
        <f t="shared" si="99"/>
        <v>106</v>
      </c>
      <c r="Y460">
        <f t="shared" si="100"/>
        <v>5</v>
      </c>
      <c r="Z460" t="str">
        <f t="shared" si="101"/>
        <v>Not Eligible</v>
      </c>
      <c r="AA460" t="str">
        <f t="shared" si="102"/>
        <v>Normal Order</v>
      </c>
      <c r="AB460" t="str">
        <f t="shared" si="103"/>
        <v/>
      </c>
    </row>
    <row r="461" spans="1:28">
      <c r="A461" s="5">
        <v>10460</v>
      </c>
      <c r="B461" s="5">
        <v>1515</v>
      </c>
      <c r="C461" s="6">
        <v>45221</v>
      </c>
      <c r="D461" s="6">
        <v>45221</v>
      </c>
      <c r="E461" s="5" t="s">
        <v>88</v>
      </c>
      <c r="F461" s="5" t="s">
        <v>95</v>
      </c>
      <c r="G461" s="5" t="s">
        <v>90</v>
      </c>
      <c r="H461" s="5" t="s">
        <v>91</v>
      </c>
      <c r="I461" s="5" t="s">
        <v>115</v>
      </c>
      <c r="J461" s="5" t="s">
        <v>116</v>
      </c>
      <c r="K461" s="5" t="s">
        <v>87</v>
      </c>
      <c r="L461" s="5">
        <v>1</v>
      </c>
      <c r="M461" s="5">
        <v>445.38</v>
      </c>
      <c r="N461" s="5">
        <v>10</v>
      </c>
      <c r="O461" s="5">
        <v>400.84</v>
      </c>
      <c r="P461">
        <f t="shared" si="91"/>
        <v>445.38</v>
      </c>
      <c r="Q461">
        <f t="shared" si="92"/>
        <v>44.538</v>
      </c>
      <c r="R461">
        <f t="shared" si="93"/>
        <v>400.842</v>
      </c>
      <c r="S461" t="str">
        <f t="shared" si="94"/>
        <v>Low</v>
      </c>
      <c r="T461" t="str">
        <f t="shared" si="95"/>
        <v>Low</v>
      </c>
      <c r="U461" t="str">
        <f t="shared" si="96"/>
        <v>Heavy Discount</v>
      </c>
      <c r="V461" t="str">
        <f t="shared" si="97"/>
        <v>Average</v>
      </c>
      <c r="W461">
        <f t="shared" si="98"/>
        <v>99</v>
      </c>
      <c r="X461">
        <f t="shared" si="99"/>
        <v>106</v>
      </c>
      <c r="Y461">
        <f t="shared" si="100"/>
        <v>5</v>
      </c>
      <c r="Z461" t="str">
        <f t="shared" si="101"/>
        <v>Not Eligible</v>
      </c>
      <c r="AA461" t="str">
        <f t="shared" si="102"/>
        <v>Normal Order</v>
      </c>
      <c r="AB461" t="str">
        <f t="shared" si="103"/>
        <v>Online</v>
      </c>
    </row>
    <row r="462" spans="1:28">
      <c r="A462" s="5">
        <v>10461</v>
      </c>
      <c r="B462" s="5">
        <v>1546</v>
      </c>
      <c r="C462" s="6">
        <v>45142</v>
      </c>
      <c r="D462" s="6">
        <v>45142</v>
      </c>
      <c r="E462" s="5" t="s">
        <v>112</v>
      </c>
      <c r="F462" s="5" t="s">
        <v>104</v>
      </c>
      <c r="G462" s="5" t="s">
        <v>96</v>
      </c>
      <c r="H462" s="5" t="s">
        <v>84</v>
      </c>
      <c r="I462" s="5" t="s">
        <v>123</v>
      </c>
      <c r="J462" s="5" t="s">
        <v>139</v>
      </c>
      <c r="K462" s="5" t="s">
        <v>113</v>
      </c>
      <c r="L462" s="5">
        <v>4</v>
      </c>
      <c r="M462" s="5">
        <v>789.3</v>
      </c>
      <c r="N462" s="5">
        <v>15</v>
      </c>
      <c r="O462" s="5">
        <v>2683.62</v>
      </c>
      <c r="P462">
        <f t="shared" si="91"/>
        <v>3157.2</v>
      </c>
      <c r="Q462">
        <f t="shared" si="92"/>
        <v>473.58</v>
      </c>
      <c r="R462">
        <f t="shared" si="93"/>
        <v>2683.62</v>
      </c>
      <c r="S462" t="str">
        <f t="shared" si="94"/>
        <v>Low</v>
      </c>
      <c r="T462" t="str">
        <f t="shared" si="95"/>
        <v>Low</v>
      </c>
      <c r="U462" t="str">
        <f t="shared" si="96"/>
        <v>Heavy Discount</v>
      </c>
      <c r="V462" t="str">
        <f t="shared" si="97"/>
        <v>Average</v>
      </c>
      <c r="W462">
        <f t="shared" si="98"/>
        <v>99</v>
      </c>
      <c r="X462">
        <f t="shared" si="99"/>
        <v>106</v>
      </c>
      <c r="Y462">
        <f t="shared" si="100"/>
        <v>4</v>
      </c>
      <c r="Z462" t="str">
        <f t="shared" si="101"/>
        <v>Not Eligible</v>
      </c>
      <c r="AA462" t="str">
        <f t="shared" si="102"/>
        <v>Normal Order</v>
      </c>
      <c r="AB462" t="str">
        <f t="shared" si="103"/>
        <v/>
      </c>
    </row>
    <row r="463" spans="1:28">
      <c r="A463" s="5">
        <v>10462</v>
      </c>
      <c r="B463" s="5">
        <v>1191</v>
      </c>
      <c r="C463" s="6">
        <v>45205</v>
      </c>
      <c r="D463" s="6">
        <v>45205</v>
      </c>
      <c r="E463" s="5" t="s">
        <v>81</v>
      </c>
      <c r="F463" s="5" t="s">
        <v>104</v>
      </c>
      <c r="G463" s="5" t="s">
        <v>83</v>
      </c>
      <c r="H463" s="5" t="s">
        <v>91</v>
      </c>
      <c r="I463" s="5" t="s">
        <v>123</v>
      </c>
      <c r="J463" s="5" t="s">
        <v>139</v>
      </c>
      <c r="K463" s="5" t="s">
        <v>111</v>
      </c>
      <c r="L463" s="5">
        <v>6</v>
      </c>
      <c r="M463" s="5">
        <v>385.25</v>
      </c>
      <c r="N463" s="5">
        <v>10</v>
      </c>
      <c r="O463" s="5">
        <v>2080.35</v>
      </c>
      <c r="P463">
        <f t="shared" si="91"/>
        <v>2311.5</v>
      </c>
      <c r="Q463">
        <f t="shared" si="92"/>
        <v>231.15</v>
      </c>
      <c r="R463">
        <f t="shared" si="93"/>
        <v>2080.35</v>
      </c>
      <c r="S463" t="str">
        <f t="shared" si="94"/>
        <v>High</v>
      </c>
      <c r="T463" t="str">
        <f t="shared" si="95"/>
        <v>High</v>
      </c>
      <c r="U463" t="str">
        <f t="shared" si="96"/>
        <v>Heavy Discount</v>
      </c>
      <c r="V463" t="str">
        <f t="shared" si="97"/>
        <v>Average</v>
      </c>
      <c r="W463">
        <f t="shared" si="98"/>
        <v>99</v>
      </c>
      <c r="X463">
        <f t="shared" si="99"/>
        <v>106</v>
      </c>
      <c r="Y463">
        <f t="shared" si="100"/>
        <v>4</v>
      </c>
      <c r="Z463" t="str">
        <f t="shared" si="101"/>
        <v>Not Eligible</v>
      </c>
      <c r="AA463" t="str">
        <f t="shared" si="102"/>
        <v>Prriority Order</v>
      </c>
      <c r="AB463" t="str">
        <f t="shared" si="103"/>
        <v>Online</v>
      </c>
    </row>
    <row r="464" spans="1:28">
      <c r="A464" s="5">
        <v>10463</v>
      </c>
      <c r="B464" s="5">
        <v>1048</v>
      </c>
      <c r="C464" s="6">
        <v>45000</v>
      </c>
      <c r="D464" s="6">
        <v>45000</v>
      </c>
      <c r="E464" s="5" t="s">
        <v>88</v>
      </c>
      <c r="F464" s="5" t="s">
        <v>82</v>
      </c>
      <c r="G464" s="5" t="s">
        <v>90</v>
      </c>
      <c r="H464" s="5" t="s">
        <v>101</v>
      </c>
      <c r="I464" s="5" t="s">
        <v>92</v>
      </c>
      <c r="J464" s="5" t="s">
        <v>102</v>
      </c>
      <c r="K464" s="5" t="s">
        <v>113</v>
      </c>
      <c r="L464" s="5">
        <v>5</v>
      </c>
      <c r="M464" s="5">
        <v>2072.32</v>
      </c>
      <c r="N464" s="5">
        <v>15</v>
      </c>
      <c r="O464" s="5">
        <v>8807.36</v>
      </c>
      <c r="P464">
        <f t="shared" si="91"/>
        <v>10361.6</v>
      </c>
      <c r="Q464">
        <f t="shared" si="92"/>
        <v>1554.24</v>
      </c>
      <c r="R464">
        <f t="shared" si="93"/>
        <v>8807.36</v>
      </c>
      <c r="S464" t="str">
        <f t="shared" si="94"/>
        <v>High</v>
      </c>
      <c r="T464" t="str">
        <f t="shared" si="95"/>
        <v>Medium</v>
      </c>
      <c r="U464" t="str">
        <f t="shared" si="96"/>
        <v>Heavy Discount</v>
      </c>
      <c r="V464" t="str">
        <f t="shared" si="97"/>
        <v>Excellent Sales</v>
      </c>
      <c r="W464">
        <f t="shared" si="98"/>
        <v>99</v>
      </c>
      <c r="X464">
        <f t="shared" si="99"/>
        <v>106</v>
      </c>
      <c r="Y464">
        <f t="shared" si="100"/>
        <v>4</v>
      </c>
      <c r="Z464" t="str">
        <f t="shared" si="101"/>
        <v>Not Eligible</v>
      </c>
      <c r="AA464" t="str">
        <f t="shared" si="102"/>
        <v>Prriority Order</v>
      </c>
      <c r="AB464" t="str">
        <f t="shared" si="103"/>
        <v>Online</v>
      </c>
    </row>
    <row r="465" spans="1:28">
      <c r="A465" s="5">
        <v>10464</v>
      </c>
      <c r="B465" s="5">
        <v>1511</v>
      </c>
      <c r="C465" s="6">
        <v>45176</v>
      </c>
      <c r="D465" s="6">
        <v>45176</v>
      </c>
      <c r="E465" s="5" t="s">
        <v>112</v>
      </c>
      <c r="F465" s="5" t="s">
        <v>89</v>
      </c>
      <c r="G465" s="5" t="s">
        <v>96</v>
      </c>
      <c r="H465" s="5" t="s">
        <v>108</v>
      </c>
      <c r="I465" s="5" t="s">
        <v>97</v>
      </c>
      <c r="J465" s="5" t="s">
        <v>140</v>
      </c>
      <c r="K465" s="5" t="s">
        <v>113</v>
      </c>
      <c r="L465" s="5">
        <v>1</v>
      </c>
      <c r="M465" s="5">
        <v>559.4</v>
      </c>
      <c r="N465" s="5">
        <v>20</v>
      </c>
      <c r="O465" s="5">
        <v>447.52</v>
      </c>
      <c r="P465">
        <f t="shared" si="91"/>
        <v>559.4</v>
      </c>
      <c r="Q465">
        <f t="shared" si="92"/>
        <v>111.88</v>
      </c>
      <c r="R465">
        <f t="shared" si="93"/>
        <v>447.52</v>
      </c>
      <c r="S465" t="str">
        <f t="shared" si="94"/>
        <v>Low</v>
      </c>
      <c r="T465" t="str">
        <f t="shared" si="95"/>
        <v>Low</v>
      </c>
      <c r="U465" t="str">
        <f t="shared" si="96"/>
        <v>Heavy Discount</v>
      </c>
      <c r="V465" t="str">
        <f t="shared" si="97"/>
        <v>Average</v>
      </c>
      <c r="W465">
        <f t="shared" si="98"/>
        <v>99</v>
      </c>
      <c r="X465">
        <f t="shared" si="99"/>
        <v>106</v>
      </c>
      <c r="Y465">
        <f t="shared" si="100"/>
        <v>4</v>
      </c>
      <c r="Z465" t="str">
        <f t="shared" si="101"/>
        <v>Not Eligible</v>
      </c>
      <c r="AA465" t="str">
        <f t="shared" si="102"/>
        <v>Normal Order</v>
      </c>
      <c r="AB465" t="str">
        <f t="shared" si="103"/>
        <v/>
      </c>
    </row>
    <row r="466" spans="1:28">
      <c r="A466" s="5">
        <v>10465</v>
      </c>
      <c r="B466" s="5">
        <v>1016</v>
      </c>
      <c r="C466" s="6">
        <v>45089</v>
      </c>
      <c r="D466" s="6">
        <v>45089</v>
      </c>
      <c r="E466" s="5" t="s">
        <v>103</v>
      </c>
      <c r="F466" s="5" t="s">
        <v>89</v>
      </c>
      <c r="G466" s="5" t="s">
        <v>96</v>
      </c>
      <c r="H466" s="5" t="s">
        <v>110</v>
      </c>
      <c r="I466" s="5" t="s">
        <v>85</v>
      </c>
      <c r="J466" s="5" t="s">
        <v>109</v>
      </c>
      <c r="K466" s="5" t="s">
        <v>99</v>
      </c>
      <c r="L466" s="5">
        <v>4</v>
      </c>
      <c r="M466" s="5">
        <v>589.44</v>
      </c>
      <c r="N466" s="5">
        <v>20</v>
      </c>
      <c r="O466" s="5">
        <v>1886.21</v>
      </c>
      <c r="P466">
        <f t="shared" si="91"/>
        <v>2357.76</v>
      </c>
      <c r="Q466">
        <f t="shared" si="92"/>
        <v>471.552</v>
      </c>
      <c r="R466">
        <f t="shared" si="93"/>
        <v>1886.208</v>
      </c>
      <c r="S466" t="str">
        <f t="shared" si="94"/>
        <v>Low</v>
      </c>
      <c r="T466" t="str">
        <f t="shared" si="95"/>
        <v>Low</v>
      </c>
      <c r="U466" t="str">
        <f t="shared" si="96"/>
        <v>Heavy Discount</v>
      </c>
      <c r="V466" t="str">
        <f t="shared" si="97"/>
        <v>Average</v>
      </c>
      <c r="W466">
        <f t="shared" si="98"/>
        <v>99</v>
      </c>
      <c r="X466">
        <f t="shared" si="99"/>
        <v>106</v>
      </c>
      <c r="Y466">
        <f t="shared" si="100"/>
        <v>4</v>
      </c>
      <c r="Z466" t="str">
        <f t="shared" si="101"/>
        <v>Not Eligible</v>
      </c>
      <c r="AA466" t="str">
        <f t="shared" si="102"/>
        <v>Normal Order</v>
      </c>
      <c r="AB466" t="str">
        <f t="shared" si="103"/>
        <v/>
      </c>
    </row>
    <row r="467" spans="1:28">
      <c r="A467" s="5">
        <v>10466</v>
      </c>
      <c r="B467" s="5">
        <v>1171</v>
      </c>
      <c r="C467" s="6">
        <v>44975</v>
      </c>
      <c r="D467" s="6">
        <v>44975</v>
      </c>
      <c r="E467" s="5" t="s">
        <v>82</v>
      </c>
      <c r="F467" s="5" t="s">
        <v>107</v>
      </c>
      <c r="G467" s="5" t="s">
        <v>96</v>
      </c>
      <c r="H467" s="5" t="s">
        <v>101</v>
      </c>
      <c r="I467" s="5" t="s">
        <v>85</v>
      </c>
      <c r="J467" s="5" t="s">
        <v>109</v>
      </c>
      <c r="K467" s="5" t="s">
        <v>94</v>
      </c>
      <c r="L467" s="5">
        <v>6</v>
      </c>
      <c r="M467" s="5">
        <v>3773.04</v>
      </c>
      <c r="N467" s="5">
        <v>0</v>
      </c>
      <c r="O467" s="5">
        <v>22638.24</v>
      </c>
      <c r="P467">
        <f t="shared" si="91"/>
        <v>22638.24</v>
      </c>
      <c r="Q467">
        <f t="shared" si="92"/>
        <v>0</v>
      </c>
      <c r="R467">
        <f t="shared" si="93"/>
        <v>22638.24</v>
      </c>
      <c r="S467" t="str">
        <f t="shared" si="94"/>
        <v>High</v>
      </c>
      <c r="T467" t="str">
        <f t="shared" si="95"/>
        <v>High</v>
      </c>
      <c r="U467" t="str">
        <f t="shared" si="96"/>
        <v>Normal Discount</v>
      </c>
      <c r="V467" t="str">
        <f t="shared" si="97"/>
        <v>Excellent Sales</v>
      </c>
      <c r="W467">
        <f t="shared" si="98"/>
        <v>99</v>
      </c>
      <c r="X467">
        <f t="shared" si="99"/>
        <v>106</v>
      </c>
      <c r="Y467">
        <f t="shared" si="100"/>
        <v>4</v>
      </c>
      <c r="Z467" t="str">
        <f t="shared" si="101"/>
        <v>Eligible</v>
      </c>
      <c r="AA467" t="str">
        <f t="shared" si="102"/>
        <v>Prriority Order</v>
      </c>
      <c r="AB467" t="str">
        <f t="shared" si="103"/>
        <v/>
      </c>
    </row>
    <row r="468" spans="1:28">
      <c r="A468" s="5">
        <v>10467</v>
      </c>
      <c r="B468" s="5">
        <v>1219</v>
      </c>
      <c r="C468" s="6">
        <v>45129</v>
      </c>
      <c r="D468" s="6">
        <v>45129</v>
      </c>
      <c r="E468" s="5" t="s">
        <v>88</v>
      </c>
      <c r="F468" s="5" t="s">
        <v>107</v>
      </c>
      <c r="G468" s="5" t="s">
        <v>83</v>
      </c>
      <c r="H468" s="5" t="s">
        <v>110</v>
      </c>
      <c r="I468" s="5" t="s">
        <v>92</v>
      </c>
      <c r="J468" s="5" t="s">
        <v>144</v>
      </c>
      <c r="K468" s="5" t="s">
        <v>94</v>
      </c>
      <c r="L468" s="5">
        <v>4</v>
      </c>
      <c r="M468" s="5">
        <v>3509.72</v>
      </c>
      <c r="N468" s="5">
        <v>15</v>
      </c>
      <c r="O468" s="5">
        <v>11933.05</v>
      </c>
      <c r="P468">
        <f t="shared" si="91"/>
        <v>14038.88</v>
      </c>
      <c r="Q468">
        <f t="shared" si="92"/>
        <v>2105.832</v>
      </c>
      <c r="R468">
        <f t="shared" si="93"/>
        <v>11933.048</v>
      </c>
      <c r="S468" t="str">
        <f t="shared" si="94"/>
        <v>Low</v>
      </c>
      <c r="T468" t="str">
        <f t="shared" si="95"/>
        <v>Low</v>
      </c>
      <c r="U468" t="str">
        <f t="shared" si="96"/>
        <v>Heavy Discount</v>
      </c>
      <c r="V468" t="str">
        <f t="shared" si="97"/>
        <v>Excellent Sales</v>
      </c>
      <c r="W468">
        <f t="shared" si="98"/>
        <v>99</v>
      </c>
      <c r="X468">
        <f t="shared" si="99"/>
        <v>106</v>
      </c>
      <c r="Y468">
        <f t="shared" si="100"/>
        <v>4</v>
      </c>
      <c r="Z468" t="str">
        <f t="shared" si="101"/>
        <v>Not Eligible</v>
      </c>
      <c r="AA468" t="str">
        <f t="shared" si="102"/>
        <v>Prriority Order</v>
      </c>
      <c r="AB468" t="str">
        <f t="shared" si="103"/>
        <v>Online</v>
      </c>
    </row>
    <row r="469" spans="1:28">
      <c r="A469" s="5">
        <v>10468</v>
      </c>
      <c r="B469" s="5">
        <v>1157</v>
      </c>
      <c r="C469" s="6">
        <v>45082</v>
      </c>
      <c r="D469" s="6">
        <v>45082</v>
      </c>
      <c r="E469" s="5" t="s">
        <v>88</v>
      </c>
      <c r="F469" s="5" t="s">
        <v>82</v>
      </c>
      <c r="G469" s="5" t="s">
        <v>83</v>
      </c>
      <c r="H469" s="5" t="s">
        <v>84</v>
      </c>
      <c r="I469" s="5" t="s">
        <v>132</v>
      </c>
      <c r="J469" s="5" t="s">
        <v>134</v>
      </c>
      <c r="K469" s="5" t="s">
        <v>111</v>
      </c>
      <c r="L469" s="5">
        <v>9</v>
      </c>
      <c r="M469" s="5">
        <v>1890.53</v>
      </c>
      <c r="N469" s="5">
        <v>15</v>
      </c>
      <c r="O469" s="5">
        <v>14462.55</v>
      </c>
      <c r="P469">
        <f t="shared" si="91"/>
        <v>17014.77</v>
      </c>
      <c r="Q469">
        <f t="shared" si="92"/>
        <v>2552.2155</v>
      </c>
      <c r="R469">
        <f t="shared" si="93"/>
        <v>14462.5545</v>
      </c>
      <c r="S469" t="str">
        <f t="shared" si="94"/>
        <v>High</v>
      </c>
      <c r="T469" t="str">
        <f t="shared" si="95"/>
        <v>High</v>
      </c>
      <c r="U469" t="str">
        <f t="shared" si="96"/>
        <v>Heavy Discount</v>
      </c>
      <c r="V469" t="str">
        <f t="shared" si="97"/>
        <v>Excellent Sales</v>
      </c>
      <c r="W469">
        <f t="shared" si="98"/>
        <v>99</v>
      </c>
      <c r="X469">
        <f t="shared" si="99"/>
        <v>106</v>
      </c>
      <c r="Y469">
        <f t="shared" si="100"/>
        <v>4</v>
      </c>
      <c r="Z469" t="str">
        <f t="shared" si="101"/>
        <v>Not Eligible</v>
      </c>
      <c r="AA469" t="str">
        <f t="shared" si="102"/>
        <v>Prriority Order</v>
      </c>
      <c r="AB469" t="str">
        <f t="shared" si="103"/>
        <v>Online</v>
      </c>
    </row>
    <row r="470" spans="1:28">
      <c r="A470" s="5">
        <v>10469</v>
      </c>
      <c r="B470" s="5">
        <v>1476</v>
      </c>
      <c r="C470" s="6">
        <v>45052</v>
      </c>
      <c r="D470" s="6">
        <v>45052</v>
      </c>
      <c r="E470" s="5" t="s">
        <v>81</v>
      </c>
      <c r="F470" s="5" t="s">
        <v>107</v>
      </c>
      <c r="G470" s="5" t="s">
        <v>96</v>
      </c>
      <c r="H470" s="5" t="s">
        <v>84</v>
      </c>
      <c r="I470" s="5" t="s">
        <v>97</v>
      </c>
      <c r="J470" s="5" t="s">
        <v>114</v>
      </c>
      <c r="K470" s="5" t="s">
        <v>111</v>
      </c>
      <c r="L470" s="5">
        <v>5</v>
      </c>
      <c r="M470" s="5">
        <v>3945.35</v>
      </c>
      <c r="N470" s="5">
        <v>5</v>
      </c>
      <c r="O470" s="5">
        <v>18740.41</v>
      </c>
      <c r="P470">
        <f t="shared" si="91"/>
        <v>19726.75</v>
      </c>
      <c r="Q470">
        <f t="shared" si="92"/>
        <v>986.3375</v>
      </c>
      <c r="R470">
        <f t="shared" si="93"/>
        <v>18740.4125</v>
      </c>
      <c r="S470" t="str">
        <f t="shared" si="94"/>
        <v>High</v>
      </c>
      <c r="T470" t="str">
        <f t="shared" si="95"/>
        <v>Medium</v>
      </c>
      <c r="U470" t="str">
        <f t="shared" si="96"/>
        <v>Heavy Discount</v>
      </c>
      <c r="V470" t="str">
        <f t="shared" si="97"/>
        <v>Excellent Sales</v>
      </c>
      <c r="W470">
        <f t="shared" si="98"/>
        <v>99</v>
      </c>
      <c r="X470">
        <f t="shared" si="99"/>
        <v>106</v>
      </c>
      <c r="Y470">
        <f t="shared" si="100"/>
        <v>4</v>
      </c>
      <c r="Z470" t="str">
        <f t="shared" si="101"/>
        <v>Not Eligible</v>
      </c>
      <c r="AA470" t="str">
        <f t="shared" si="102"/>
        <v>Prriority Order</v>
      </c>
      <c r="AB470" t="str">
        <f t="shared" si="103"/>
        <v/>
      </c>
    </row>
    <row r="471" spans="1:28">
      <c r="A471" s="5">
        <v>10470</v>
      </c>
      <c r="B471" s="5">
        <v>1045</v>
      </c>
      <c r="C471" s="6">
        <v>44936</v>
      </c>
      <c r="D471" s="6">
        <v>44936</v>
      </c>
      <c r="E471" s="5" t="s">
        <v>100</v>
      </c>
      <c r="F471" s="5" t="s">
        <v>95</v>
      </c>
      <c r="G471" s="5" t="s">
        <v>96</v>
      </c>
      <c r="H471" s="5" t="s">
        <v>84</v>
      </c>
      <c r="I471" s="5" t="s">
        <v>92</v>
      </c>
      <c r="J471" s="5" t="s">
        <v>102</v>
      </c>
      <c r="K471" s="5" t="s">
        <v>94</v>
      </c>
      <c r="L471" s="5">
        <v>8</v>
      </c>
      <c r="M471" s="5">
        <v>150.72</v>
      </c>
      <c r="N471" s="5">
        <v>5</v>
      </c>
      <c r="O471" s="5">
        <v>1145.47</v>
      </c>
      <c r="P471">
        <f t="shared" si="91"/>
        <v>1205.76</v>
      </c>
      <c r="Q471">
        <f t="shared" si="92"/>
        <v>60.288</v>
      </c>
      <c r="R471">
        <f t="shared" si="93"/>
        <v>1145.472</v>
      </c>
      <c r="S471" t="str">
        <f t="shared" si="94"/>
        <v>High</v>
      </c>
      <c r="T471" t="str">
        <f t="shared" si="95"/>
        <v>High</v>
      </c>
      <c r="U471" t="str">
        <f t="shared" si="96"/>
        <v>Heavy Discount</v>
      </c>
      <c r="V471" t="str">
        <f t="shared" si="97"/>
        <v>Average</v>
      </c>
      <c r="W471">
        <f t="shared" si="98"/>
        <v>99</v>
      </c>
      <c r="X471">
        <f t="shared" si="99"/>
        <v>106</v>
      </c>
      <c r="Y471">
        <f t="shared" si="100"/>
        <v>4</v>
      </c>
      <c r="Z471" t="str">
        <f t="shared" si="101"/>
        <v>Not Eligible</v>
      </c>
      <c r="AA471" t="str">
        <f t="shared" si="102"/>
        <v>Prriority Order</v>
      </c>
      <c r="AB471" t="str">
        <f t="shared" si="103"/>
        <v/>
      </c>
    </row>
    <row r="472" spans="1:28">
      <c r="A472" s="5">
        <v>10471</v>
      </c>
      <c r="B472" s="5">
        <v>1372</v>
      </c>
      <c r="C472" s="6">
        <v>45174</v>
      </c>
      <c r="D472" s="6">
        <v>45174</v>
      </c>
      <c r="E472" s="5" t="s">
        <v>103</v>
      </c>
      <c r="F472" s="5" t="s">
        <v>127</v>
      </c>
      <c r="G472" s="5" t="s">
        <v>83</v>
      </c>
      <c r="H472" s="5" t="s">
        <v>110</v>
      </c>
      <c r="I472" s="5" t="s">
        <v>97</v>
      </c>
      <c r="J472" s="5" t="s">
        <v>114</v>
      </c>
      <c r="K472" s="5" t="s">
        <v>99</v>
      </c>
      <c r="L472" s="5">
        <v>9</v>
      </c>
      <c r="M472" s="5">
        <v>2513.82</v>
      </c>
      <c r="N472" s="5">
        <v>5</v>
      </c>
      <c r="O472" s="5">
        <v>21493.16</v>
      </c>
      <c r="P472">
        <f t="shared" si="91"/>
        <v>22624.38</v>
      </c>
      <c r="Q472">
        <f t="shared" si="92"/>
        <v>1131.219</v>
      </c>
      <c r="R472">
        <f t="shared" si="93"/>
        <v>21493.161</v>
      </c>
      <c r="S472" t="str">
        <f t="shared" si="94"/>
        <v>High</v>
      </c>
      <c r="T472" t="str">
        <f t="shared" si="95"/>
        <v>High</v>
      </c>
      <c r="U472" t="str">
        <f t="shared" si="96"/>
        <v>Heavy Discount</v>
      </c>
      <c r="V472" t="str">
        <f t="shared" si="97"/>
        <v>Excellent Sales</v>
      </c>
      <c r="W472">
        <f t="shared" si="98"/>
        <v>99</v>
      </c>
      <c r="X472">
        <f t="shared" si="99"/>
        <v>106</v>
      </c>
      <c r="Y472">
        <f t="shared" si="100"/>
        <v>4</v>
      </c>
      <c r="Z472" t="str">
        <f t="shared" si="101"/>
        <v>Not Eligible</v>
      </c>
      <c r="AA472" t="str">
        <f t="shared" si="102"/>
        <v>Prriority Order</v>
      </c>
      <c r="AB472" t="str">
        <f t="shared" si="103"/>
        <v>Online</v>
      </c>
    </row>
    <row r="473" spans="1:28">
      <c r="A473" s="5">
        <v>10472</v>
      </c>
      <c r="B473" s="5">
        <v>1517</v>
      </c>
      <c r="C473" s="6">
        <v>45278</v>
      </c>
      <c r="D473" s="6">
        <v>45278</v>
      </c>
      <c r="E473" s="5" t="s">
        <v>81</v>
      </c>
      <c r="F473" s="5" t="s">
        <v>127</v>
      </c>
      <c r="G473" s="5" t="s">
        <v>96</v>
      </c>
      <c r="H473" s="5" t="s">
        <v>101</v>
      </c>
      <c r="I473" s="5" t="s">
        <v>97</v>
      </c>
      <c r="J473" s="5" t="s">
        <v>114</v>
      </c>
      <c r="K473" s="5" t="s">
        <v>94</v>
      </c>
      <c r="L473" s="5">
        <v>5</v>
      </c>
      <c r="M473" s="5">
        <v>2523.25</v>
      </c>
      <c r="N473" s="5">
        <v>10</v>
      </c>
      <c r="O473" s="5">
        <v>11354.63</v>
      </c>
      <c r="P473">
        <f t="shared" si="91"/>
        <v>12616.25</v>
      </c>
      <c r="Q473">
        <f t="shared" si="92"/>
        <v>1261.625</v>
      </c>
      <c r="R473">
        <f t="shared" si="93"/>
        <v>11354.625</v>
      </c>
      <c r="S473" t="str">
        <f t="shared" si="94"/>
        <v>High</v>
      </c>
      <c r="T473" t="str">
        <f t="shared" si="95"/>
        <v>Medium</v>
      </c>
      <c r="U473" t="str">
        <f t="shared" si="96"/>
        <v>Heavy Discount</v>
      </c>
      <c r="V473" t="str">
        <f t="shared" si="97"/>
        <v>Excellent Sales</v>
      </c>
      <c r="W473">
        <f t="shared" si="98"/>
        <v>99</v>
      </c>
      <c r="X473">
        <f t="shared" si="99"/>
        <v>106</v>
      </c>
      <c r="Y473">
        <f t="shared" si="100"/>
        <v>4</v>
      </c>
      <c r="Z473" t="str">
        <f t="shared" si="101"/>
        <v>Not Eligible</v>
      </c>
      <c r="AA473" t="str">
        <f t="shared" si="102"/>
        <v>Prriority Order</v>
      </c>
      <c r="AB473" t="str">
        <f t="shared" si="103"/>
        <v/>
      </c>
    </row>
    <row r="474" spans="1:28">
      <c r="A474" s="5">
        <v>10473</v>
      </c>
      <c r="B474" s="5">
        <v>1098</v>
      </c>
      <c r="C474" s="6">
        <v>45055</v>
      </c>
      <c r="D474" s="6">
        <v>45055</v>
      </c>
      <c r="E474" s="5" t="s">
        <v>112</v>
      </c>
      <c r="F474" s="5" t="s">
        <v>127</v>
      </c>
      <c r="G474" s="5" t="s">
        <v>96</v>
      </c>
      <c r="H474" s="5" t="s">
        <v>84</v>
      </c>
      <c r="I474" s="5" t="s">
        <v>97</v>
      </c>
      <c r="J474" s="5" t="s">
        <v>114</v>
      </c>
      <c r="K474" s="5" t="s">
        <v>99</v>
      </c>
      <c r="L474" s="5">
        <v>6</v>
      </c>
      <c r="M474" s="5">
        <v>1911.16</v>
      </c>
      <c r="N474" s="5">
        <v>5</v>
      </c>
      <c r="O474" s="5">
        <v>10893.61</v>
      </c>
      <c r="P474">
        <f t="shared" si="91"/>
        <v>11466.96</v>
      </c>
      <c r="Q474">
        <f t="shared" si="92"/>
        <v>573.348</v>
      </c>
      <c r="R474">
        <f t="shared" si="93"/>
        <v>10893.612</v>
      </c>
      <c r="S474" t="str">
        <f t="shared" si="94"/>
        <v>High</v>
      </c>
      <c r="T474" t="str">
        <f t="shared" si="95"/>
        <v>High</v>
      </c>
      <c r="U474" t="str">
        <f t="shared" si="96"/>
        <v>Heavy Discount</v>
      </c>
      <c r="V474" t="str">
        <f t="shared" si="97"/>
        <v>Excellent Sales</v>
      </c>
      <c r="W474">
        <f t="shared" si="98"/>
        <v>99</v>
      </c>
      <c r="X474">
        <f t="shared" si="99"/>
        <v>106</v>
      </c>
      <c r="Y474">
        <f t="shared" si="100"/>
        <v>4</v>
      </c>
      <c r="Z474" t="str">
        <f t="shared" si="101"/>
        <v>Not Eligible</v>
      </c>
      <c r="AA474" t="str">
        <f t="shared" si="102"/>
        <v>Prriority Order</v>
      </c>
      <c r="AB474" t="str">
        <f t="shared" si="103"/>
        <v/>
      </c>
    </row>
    <row r="475" spans="1:28">
      <c r="A475" s="5">
        <v>10474</v>
      </c>
      <c r="B475" s="5">
        <v>1891</v>
      </c>
      <c r="C475" s="6">
        <v>45119</v>
      </c>
      <c r="D475" s="6">
        <v>45119</v>
      </c>
      <c r="E475" s="5" t="s">
        <v>112</v>
      </c>
      <c r="F475" s="5" t="s">
        <v>82</v>
      </c>
      <c r="G475" s="5" t="s">
        <v>83</v>
      </c>
      <c r="H475" s="5" t="s">
        <v>101</v>
      </c>
      <c r="I475" s="5" t="s">
        <v>92</v>
      </c>
      <c r="J475" s="5" t="s">
        <v>93</v>
      </c>
      <c r="K475" s="5" t="s">
        <v>111</v>
      </c>
      <c r="L475" s="5">
        <v>1</v>
      </c>
      <c r="M475" s="5">
        <v>1678.25</v>
      </c>
      <c r="N475" s="5">
        <v>15</v>
      </c>
      <c r="O475" s="5">
        <v>1426.51</v>
      </c>
      <c r="P475">
        <f t="shared" si="91"/>
        <v>1678.25</v>
      </c>
      <c r="Q475">
        <f t="shared" si="92"/>
        <v>251.7375</v>
      </c>
      <c r="R475">
        <f t="shared" si="93"/>
        <v>1426.5125</v>
      </c>
      <c r="S475" t="str">
        <f t="shared" si="94"/>
        <v>Low</v>
      </c>
      <c r="T475" t="str">
        <f t="shared" si="95"/>
        <v>Low</v>
      </c>
      <c r="U475" t="str">
        <f t="shared" si="96"/>
        <v>Heavy Discount</v>
      </c>
      <c r="V475" t="str">
        <f t="shared" si="97"/>
        <v>Average</v>
      </c>
      <c r="W475">
        <f t="shared" si="98"/>
        <v>99</v>
      </c>
      <c r="X475">
        <f t="shared" si="99"/>
        <v>106</v>
      </c>
      <c r="Y475">
        <f t="shared" si="100"/>
        <v>4</v>
      </c>
      <c r="Z475" t="str">
        <f t="shared" si="101"/>
        <v>Not Eligible</v>
      </c>
      <c r="AA475" t="str">
        <f t="shared" si="102"/>
        <v>Normal Order</v>
      </c>
      <c r="AB475" t="str">
        <f t="shared" si="103"/>
        <v>Online</v>
      </c>
    </row>
    <row r="476" spans="1:28">
      <c r="A476" s="5">
        <v>10475</v>
      </c>
      <c r="B476" s="5">
        <v>1744</v>
      </c>
      <c r="C476" s="6">
        <v>44999</v>
      </c>
      <c r="D476" s="6">
        <v>44999</v>
      </c>
      <c r="E476" s="5" t="s">
        <v>112</v>
      </c>
      <c r="F476" s="5" t="s">
        <v>82</v>
      </c>
      <c r="G476" s="5" t="s">
        <v>96</v>
      </c>
      <c r="H476" s="5" t="s">
        <v>110</v>
      </c>
      <c r="I476" s="5" t="s">
        <v>85</v>
      </c>
      <c r="J476" s="5" t="s">
        <v>129</v>
      </c>
      <c r="K476" s="5" t="s">
        <v>87</v>
      </c>
      <c r="L476" s="5">
        <v>7</v>
      </c>
      <c r="M476" s="5">
        <v>1903.23</v>
      </c>
      <c r="N476" s="5">
        <v>10</v>
      </c>
      <c r="O476" s="5">
        <v>11990.35</v>
      </c>
      <c r="P476">
        <f t="shared" si="91"/>
        <v>13322.61</v>
      </c>
      <c r="Q476">
        <f t="shared" si="92"/>
        <v>1332.261</v>
      </c>
      <c r="R476">
        <f t="shared" si="93"/>
        <v>11990.349</v>
      </c>
      <c r="S476" t="str">
        <f t="shared" si="94"/>
        <v>High</v>
      </c>
      <c r="T476" t="str">
        <f t="shared" si="95"/>
        <v>High</v>
      </c>
      <c r="U476" t="str">
        <f t="shared" si="96"/>
        <v>Heavy Discount</v>
      </c>
      <c r="V476" t="str">
        <f t="shared" si="97"/>
        <v>Excellent Sales</v>
      </c>
      <c r="W476">
        <f t="shared" si="98"/>
        <v>99</v>
      </c>
      <c r="X476">
        <f t="shared" si="99"/>
        <v>106</v>
      </c>
      <c r="Y476">
        <f t="shared" si="100"/>
        <v>4</v>
      </c>
      <c r="Z476" t="str">
        <f t="shared" si="101"/>
        <v>Not Eligible</v>
      </c>
      <c r="AA476" t="str">
        <f t="shared" si="102"/>
        <v>Prriority Order</v>
      </c>
      <c r="AB476" t="str">
        <f t="shared" si="103"/>
        <v/>
      </c>
    </row>
    <row r="477" spans="1:28">
      <c r="A477" s="5">
        <v>10476</v>
      </c>
      <c r="B477" s="5">
        <v>1036</v>
      </c>
      <c r="C477" s="6">
        <v>44936</v>
      </c>
      <c r="D477" s="6">
        <v>44936</v>
      </c>
      <c r="E477" s="5" t="s">
        <v>112</v>
      </c>
      <c r="F477" s="5" t="s">
        <v>104</v>
      </c>
      <c r="G477" s="5" t="s">
        <v>96</v>
      </c>
      <c r="H477" s="5" t="s">
        <v>101</v>
      </c>
      <c r="I477" s="5" t="s">
        <v>85</v>
      </c>
      <c r="J477" s="5" t="s">
        <v>86</v>
      </c>
      <c r="K477" s="5" t="s">
        <v>111</v>
      </c>
      <c r="L477" s="5">
        <v>4</v>
      </c>
      <c r="M477" s="5">
        <v>1747.6</v>
      </c>
      <c r="N477" s="5">
        <v>20</v>
      </c>
      <c r="O477" s="5">
        <v>5592.32</v>
      </c>
      <c r="P477">
        <f t="shared" si="91"/>
        <v>6990.4</v>
      </c>
      <c r="Q477">
        <f t="shared" si="92"/>
        <v>1398.08</v>
      </c>
      <c r="R477">
        <f t="shared" si="93"/>
        <v>5592.32</v>
      </c>
      <c r="S477" t="str">
        <f t="shared" si="94"/>
        <v>Low</v>
      </c>
      <c r="T477" t="str">
        <f t="shared" si="95"/>
        <v>Low</v>
      </c>
      <c r="U477" t="str">
        <f t="shared" si="96"/>
        <v>Heavy Discount</v>
      </c>
      <c r="V477" t="str">
        <f t="shared" si="97"/>
        <v>Good</v>
      </c>
      <c r="W477">
        <f t="shared" si="98"/>
        <v>99</v>
      </c>
      <c r="X477">
        <f t="shared" si="99"/>
        <v>106</v>
      </c>
      <c r="Y477">
        <f t="shared" si="100"/>
        <v>4</v>
      </c>
      <c r="Z477" t="str">
        <f t="shared" si="101"/>
        <v>Not Eligible</v>
      </c>
      <c r="AA477" t="str">
        <f t="shared" si="102"/>
        <v>Normal Order</v>
      </c>
      <c r="AB477" t="str">
        <f t="shared" si="103"/>
        <v/>
      </c>
    </row>
    <row r="478" spans="1:28">
      <c r="A478" s="5">
        <v>10477</v>
      </c>
      <c r="B478" s="5">
        <v>1279</v>
      </c>
      <c r="C478" s="6">
        <v>45230</v>
      </c>
      <c r="D478" s="6">
        <v>45230</v>
      </c>
      <c r="E478" s="5" t="s">
        <v>100</v>
      </c>
      <c r="F478" s="5" t="s">
        <v>127</v>
      </c>
      <c r="G478" s="5" t="s">
        <v>96</v>
      </c>
      <c r="H478" s="5" t="s">
        <v>110</v>
      </c>
      <c r="I478" s="5" t="s">
        <v>97</v>
      </c>
      <c r="J478" s="5" t="s">
        <v>114</v>
      </c>
      <c r="K478" s="5" t="s">
        <v>111</v>
      </c>
      <c r="L478" s="5">
        <v>2</v>
      </c>
      <c r="M478" s="5">
        <v>2962.4</v>
      </c>
      <c r="N478" s="5">
        <v>0</v>
      </c>
      <c r="O478" s="5">
        <v>5924.8</v>
      </c>
      <c r="P478">
        <f t="shared" si="91"/>
        <v>5924.8</v>
      </c>
      <c r="Q478">
        <f t="shared" si="92"/>
        <v>0</v>
      </c>
      <c r="R478">
        <f t="shared" si="93"/>
        <v>5924.8</v>
      </c>
      <c r="S478" t="str">
        <f t="shared" si="94"/>
        <v>Low</v>
      </c>
      <c r="T478" t="str">
        <f t="shared" si="95"/>
        <v>Low</v>
      </c>
      <c r="U478" t="str">
        <f t="shared" si="96"/>
        <v>Normal Discount</v>
      </c>
      <c r="V478" t="str">
        <f t="shared" si="97"/>
        <v>Good</v>
      </c>
      <c r="W478">
        <f t="shared" si="98"/>
        <v>99</v>
      </c>
      <c r="X478">
        <f t="shared" si="99"/>
        <v>106</v>
      </c>
      <c r="Y478">
        <f t="shared" si="100"/>
        <v>4</v>
      </c>
      <c r="Z478" t="str">
        <f t="shared" si="101"/>
        <v>Eligible</v>
      </c>
      <c r="AA478" t="str">
        <f t="shared" si="102"/>
        <v>Normal Order</v>
      </c>
      <c r="AB478" t="str">
        <f t="shared" si="103"/>
        <v/>
      </c>
    </row>
    <row r="479" spans="1:28">
      <c r="A479" s="5">
        <v>10478</v>
      </c>
      <c r="B479" s="5">
        <v>1348</v>
      </c>
      <c r="C479" s="6">
        <v>45227</v>
      </c>
      <c r="D479" s="6">
        <v>45227</v>
      </c>
      <c r="E479" s="5" t="s">
        <v>103</v>
      </c>
      <c r="F479" s="5" t="s">
        <v>95</v>
      </c>
      <c r="G479" s="5" t="s">
        <v>83</v>
      </c>
      <c r="H479" s="5" t="s">
        <v>110</v>
      </c>
      <c r="I479" s="5" t="s">
        <v>132</v>
      </c>
      <c r="J479" s="5" t="s">
        <v>137</v>
      </c>
      <c r="K479" s="5" t="s">
        <v>113</v>
      </c>
      <c r="L479" s="5">
        <v>5</v>
      </c>
      <c r="M479" s="5">
        <v>671.12</v>
      </c>
      <c r="N479" s="5">
        <v>5</v>
      </c>
      <c r="O479" s="5">
        <v>3187.82</v>
      </c>
      <c r="P479">
        <f t="shared" si="91"/>
        <v>3355.6</v>
      </c>
      <c r="Q479">
        <f t="shared" si="92"/>
        <v>167.78</v>
      </c>
      <c r="R479">
        <f t="shared" si="93"/>
        <v>3187.82</v>
      </c>
      <c r="S479" t="str">
        <f t="shared" si="94"/>
        <v>High</v>
      </c>
      <c r="T479" t="str">
        <f t="shared" si="95"/>
        <v>Medium</v>
      </c>
      <c r="U479" t="str">
        <f t="shared" si="96"/>
        <v>Heavy Discount</v>
      </c>
      <c r="V479" t="str">
        <f t="shared" si="97"/>
        <v>Average</v>
      </c>
      <c r="W479">
        <f t="shared" si="98"/>
        <v>99</v>
      </c>
      <c r="X479">
        <f t="shared" si="99"/>
        <v>106</v>
      </c>
      <c r="Y479">
        <f t="shared" si="100"/>
        <v>4</v>
      </c>
      <c r="Z479" t="str">
        <f t="shared" si="101"/>
        <v>Not Eligible</v>
      </c>
      <c r="AA479" t="str">
        <f t="shared" si="102"/>
        <v>Normal Order</v>
      </c>
      <c r="AB479" t="str">
        <f t="shared" si="103"/>
        <v>Online</v>
      </c>
    </row>
    <row r="480" spans="1:28">
      <c r="A480" s="5">
        <v>10479</v>
      </c>
      <c r="B480" s="5">
        <v>1496</v>
      </c>
      <c r="C480" s="6">
        <v>45077</v>
      </c>
      <c r="D480" s="6">
        <v>45077</v>
      </c>
      <c r="E480" s="5" t="s">
        <v>106</v>
      </c>
      <c r="F480" s="5" t="s">
        <v>107</v>
      </c>
      <c r="G480" s="5" t="s">
        <v>96</v>
      </c>
      <c r="H480" s="5" t="s">
        <v>108</v>
      </c>
      <c r="I480" s="5" t="s">
        <v>115</v>
      </c>
      <c r="J480" s="5" t="s">
        <v>143</v>
      </c>
      <c r="K480" s="5" t="s">
        <v>113</v>
      </c>
      <c r="L480" s="5">
        <v>3</v>
      </c>
      <c r="M480" s="5">
        <v>910.91</v>
      </c>
      <c r="N480" s="5">
        <v>20</v>
      </c>
      <c r="O480" s="5">
        <v>2186.18</v>
      </c>
      <c r="P480">
        <f t="shared" si="91"/>
        <v>2732.73</v>
      </c>
      <c r="Q480">
        <f t="shared" si="92"/>
        <v>546.546</v>
      </c>
      <c r="R480">
        <f t="shared" si="93"/>
        <v>2186.184</v>
      </c>
      <c r="S480" t="str">
        <f t="shared" si="94"/>
        <v>Low</v>
      </c>
      <c r="T480" t="str">
        <f t="shared" si="95"/>
        <v>Low</v>
      </c>
      <c r="U480" t="str">
        <f t="shared" si="96"/>
        <v>Heavy Discount</v>
      </c>
      <c r="V480" t="str">
        <f t="shared" si="97"/>
        <v>Average</v>
      </c>
      <c r="W480">
        <f t="shared" si="98"/>
        <v>99</v>
      </c>
      <c r="X480">
        <f t="shared" si="99"/>
        <v>106</v>
      </c>
      <c r="Y480">
        <f t="shared" si="100"/>
        <v>4</v>
      </c>
      <c r="Z480" t="str">
        <f t="shared" si="101"/>
        <v>Not Eligible</v>
      </c>
      <c r="AA480" t="str">
        <f t="shared" si="102"/>
        <v>Normal Order</v>
      </c>
      <c r="AB480" t="str">
        <f t="shared" si="103"/>
        <v/>
      </c>
    </row>
    <row r="481" spans="1:28">
      <c r="A481" s="5">
        <v>10480</v>
      </c>
      <c r="B481" s="5">
        <v>1301</v>
      </c>
      <c r="C481" s="6">
        <v>45119</v>
      </c>
      <c r="D481" s="6">
        <v>45119</v>
      </c>
      <c r="E481" s="5" t="s">
        <v>82</v>
      </c>
      <c r="F481" s="5" t="s">
        <v>95</v>
      </c>
      <c r="G481" s="5" t="s">
        <v>83</v>
      </c>
      <c r="H481" s="5" t="s">
        <v>110</v>
      </c>
      <c r="I481" s="5" t="s">
        <v>92</v>
      </c>
      <c r="J481" s="5" t="s">
        <v>102</v>
      </c>
      <c r="K481" s="5" t="s">
        <v>113</v>
      </c>
      <c r="L481" s="5">
        <v>6</v>
      </c>
      <c r="M481" s="5">
        <v>845</v>
      </c>
      <c r="N481" s="5">
        <v>15</v>
      </c>
      <c r="O481" s="5">
        <v>4309.5</v>
      </c>
      <c r="P481">
        <f t="shared" si="91"/>
        <v>5070</v>
      </c>
      <c r="Q481">
        <f t="shared" si="92"/>
        <v>760.5</v>
      </c>
      <c r="R481">
        <f t="shared" si="93"/>
        <v>4309.5</v>
      </c>
      <c r="S481" t="str">
        <f t="shared" si="94"/>
        <v>High</v>
      </c>
      <c r="T481" t="str">
        <f t="shared" si="95"/>
        <v>High</v>
      </c>
      <c r="U481" t="str">
        <f t="shared" si="96"/>
        <v>Heavy Discount</v>
      </c>
      <c r="V481" t="str">
        <f t="shared" si="97"/>
        <v>Good</v>
      </c>
      <c r="W481">
        <f t="shared" si="98"/>
        <v>99</v>
      </c>
      <c r="X481">
        <f t="shared" si="99"/>
        <v>106</v>
      </c>
      <c r="Y481">
        <f t="shared" si="100"/>
        <v>4</v>
      </c>
      <c r="Z481" t="str">
        <f t="shared" si="101"/>
        <v>Not Eligible</v>
      </c>
      <c r="AA481" t="str">
        <f t="shared" si="102"/>
        <v>Prriority Order</v>
      </c>
      <c r="AB481" t="str">
        <f t="shared" si="103"/>
        <v>Online</v>
      </c>
    </row>
    <row r="482" spans="1:28">
      <c r="A482" s="5">
        <v>10481</v>
      </c>
      <c r="B482" s="5">
        <v>1180</v>
      </c>
      <c r="C482" s="6">
        <v>44955</v>
      </c>
      <c r="D482" s="6">
        <v>44955</v>
      </c>
      <c r="E482" s="5" t="s">
        <v>100</v>
      </c>
      <c r="F482" s="5" t="s">
        <v>107</v>
      </c>
      <c r="G482" s="5" t="s">
        <v>83</v>
      </c>
      <c r="H482" s="5" t="s">
        <v>110</v>
      </c>
      <c r="I482" s="5" t="s">
        <v>115</v>
      </c>
      <c r="J482" s="5" t="s">
        <v>116</v>
      </c>
      <c r="K482" s="5" t="s">
        <v>113</v>
      </c>
      <c r="L482" s="5">
        <v>8</v>
      </c>
      <c r="M482" s="5">
        <v>1160.51</v>
      </c>
      <c r="N482" s="5">
        <v>0</v>
      </c>
      <c r="O482" s="5">
        <v>9284.08</v>
      </c>
      <c r="P482">
        <f t="shared" si="91"/>
        <v>9284.08</v>
      </c>
      <c r="Q482">
        <f t="shared" si="92"/>
        <v>0</v>
      </c>
      <c r="R482">
        <f t="shared" si="93"/>
        <v>9284.08</v>
      </c>
      <c r="S482" t="str">
        <f t="shared" si="94"/>
        <v>High</v>
      </c>
      <c r="T482" t="str">
        <f t="shared" si="95"/>
        <v>High</v>
      </c>
      <c r="U482" t="str">
        <f t="shared" si="96"/>
        <v>Normal Discount</v>
      </c>
      <c r="V482" t="str">
        <f t="shared" si="97"/>
        <v>Excellent Sales</v>
      </c>
      <c r="W482">
        <f t="shared" si="98"/>
        <v>99</v>
      </c>
      <c r="X482">
        <f t="shared" si="99"/>
        <v>106</v>
      </c>
      <c r="Y482">
        <f t="shared" si="100"/>
        <v>4</v>
      </c>
      <c r="Z482" t="str">
        <f t="shared" si="101"/>
        <v>Eligible</v>
      </c>
      <c r="AA482" t="str">
        <f t="shared" si="102"/>
        <v>Prriority Order</v>
      </c>
      <c r="AB482" t="str">
        <f t="shared" si="103"/>
        <v>Online</v>
      </c>
    </row>
    <row r="483" spans="1:28">
      <c r="A483" s="5">
        <v>10482</v>
      </c>
      <c r="B483" s="5">
        <v>1606</v>
      </c>
      <c r="C483" s="6">
        <v>45162</v>
      </c>
      <c r="D483" s="6">
        <v>45162</v>
      </c>
      <c r="E483" s="5" t="s">
        <v>100</v>
      </c>
      <c r="F483" s="5" t="s">
        <v>127</v>
      </c>
      <c r="G483" s="5" t="s">
        <v>90</v>
      </c>
      <c r="H483" s="5" t="s">
        <v>91</v>
      </c>
      <c r="I483" s="5" t="s">
        <v>132</v>
      </c>
      <c r="J483" s="5" t="s">
        <v>142</v>
      </c>
      <c r="K483" s="5" t="s">
        <v>99</v>
      </c>
      <c r="L483" s="5">
        <v>7</v>
      </c>
      <c r="M483" s="5">
        <v>2172.24</v>
      </c>
      <c r="N483" s="5">
        <v>20</v>
      </c>
      <c r="O483" s="5">
        <v>12164.54</v>
      </c>
      <c r="P483">
        <f t="shared" si="91"/>
        <v>15205.68</v>
      </c>
      <c r="Q483">
        <f t="shared" si="92"/>
        <v>3041.136</v>
      </c>
      <c r="R483">
        <f t="shared" si="93"/>
        <v>12164.544</v>
      </c>
      <c r="S483" t="str">
        <f t="shared" si="94"/>
        <v>High</v>
      </c>
      <c r="T483" t="str">
        <f t="shared" si="95"/>
        <v>High</v>
      </c>
      <c r="U483" t="str">
        <f t="shared" si="96"/>
        <v>Heavy Discount</v>
      </c>
      <c r="V483" t="str">
        <f t="shared" si="97"/>
        <v>Excellent Sales</v>
      </c>
      <c r="W483">
        <f t="shared" si="98"/>
        <v>99</v>
      </c>
      <c r="X483">
        <f t="shared" si="99"/>
        <v>106</v>
      </c>
      <c r="Y483">
        <f t="shared" si="100"/>
        <v>3</v>
      </c>
      <c r="Z483" t="str">
        <f t="shared" si="101"/>
        <v>Not Eligible</v>
      </c>
      <c r="AA483" t="str">
        <f t="shared" si="102"/>
        <v>Prriority Order</v>
      </c>
      <c r="AB483" t="str">
        <f t="shared" si="103"/>
        <v>Online</v>
      </c>
    </row>
    <row r="484" spans="1:28">
      <c r="A484" s="5">
        <v>10483</v>
      </c>
      <c r="B484" s="5">
        <v>1098</v>
      </c>
      <c r="C484" s="6">
        <v>45245</v>
      </c>
      <c r="D484" s="6">
        <v>45245</v>
      </c>
      <c r="E484" s="5" t="s">
        <v>106</v>
      </c>
      <c r="F484" s="5" t="s">
        <v>127</v>
      </c>
      <c r="G484" s="5" t="s">
        <v>90</v>
      </c>
      <c r="H484" s="5" t="s">
        <v>84</v>
      </c>
      <c r="I484" s="5" t="s">
        <v>92</v>
      </c>
      <c r="J484" s="5" t="s">
        <v>136</v>
      </c>
      <c r="K484" s="5" t="s">
        <v>94</v>
      </c>
      <c r="L484" s="5">
        <v>3</v>
      </c>
      <c r="M484" s="5">
        <v>578.15</v>
      </c>
      <c r="N484" s="5">
        <v>0</v>
      </c>
      <c r="O484" s="5">
        <v>1734.45</v>
      </c>
      <c r="P484">
        <f t="shared" si="91"/>
        <v>1734.45</v>
      </c>
      <c r="Q484">
        <f t="shared" si="92"/>
        <v>0</v>
      </c>
      <c r="R484">
        <f t="shared" si="93"/>
        <v>1734.45</v>
      </c>
      <c r="S484" t="str">
        <f t="shared" si="94"/>
        <v>Low</v>
      </c>
      <c r="T484" t="str">
        <f t="shared" si="95"/>
        <v>Low</v>
      </c>
      <c r="U484" t="str">
        <f t="shared" si="96"/>
        <v>Normal Discount</v>
      </c>
      <c r="V484" t="str">
        <f t="shared" si="97"/>
        <v>Average</v>
      </c>
      <c r="W484">
        <f t="shared" si="98"/>
        <v>99</v>
      </c>
      <c r="X484">
        <f t="shared" si="99"/>
        <v>106</v>
      </c>
      <c r="Y484">
        <f t="shared" si="100"/>
        <v>3</v>
      </c>
      <c r="Z484" t="str">
        <f t="shared" si="101"/>
        <v>Eligible</v>
      </c>
      <c r="AA484" t="str">
        <f t="shared" si="102"/>
        <v>Normal Order</v>
      </c>
      <c r="AB484" t="str">
        <f t="shared" si="103"/>
        <v>Online</v>
      </c>
    </row>
    <row r="485" spans="1:28">
      <c r="A485" s="5">
        <v>10484</v>
      </c>
      <c r="B485" s="5">
        <v>1699</v>
      </c>
      <c r="C485" s="6">
        <v>45048</v>
      </c>
      <c r="D485" s="6">
        <v>45048</v>
      </c>
      <c r="E485" s="5" t="s">
        <v>106</v>
      </c>
      <c r="F485" s="5" t="s">
        <v>127</v>
      </c>
      <c r="G485" s="5" t="s">
        <v>96</v>
      </c>
      <c r="H485" s="5" t="s">
        <v>108</v>
      </c>
      <c r="I485" s="5" t="s">
        <v>97</v>
      </c>
      <c r="J485" s="5" t="s">
        <v>140</v>
      </c>
      <c r="K485" s="5" t="s">
        <v>87</v>
      </c>
      <c r="L485" s="5">
        <v>8</v>
      </c>
      <c r="M485" s="5">
        <v>3492.45</v>
      </c>
      <c r="N485" s="5">
        <v>5</v>
      </c>
      <c r="O485" s="5">
        <v>26542.62</v>
      </c>
      <c r="P485">
        <f t="shared" si="91"/>
        <v>27939.6</v>
      </c>
      <c r="Q485">
        <f t="shared" si="92"/>
        <v>1396.98</v>
      </c>
      <c r="R485">
        <f t="shared" si="93"/>
        <v>26542.62</v>
      </c>
      <c r="S485" t="str">
        <f t="shared" si="94"/>
        <v>High</v>
      </c>
      <c r="T485" t="str">
        <f t="shared" si="95"/>
        <v>High</v>
      </c>
      <c r="U485" t="str">
        <f t="shared" si="96"/>
        <v>Heavy Discount</v>
      </c>
      <c r="V485" t="str">
        <f t="shared" si="97"/>
        <v>Excellent Sales</v>
      </c>
      <c r="W485">
        <f t="shared" si="98"/>
        <v>99</v>
      </c>
      <c r="X485">
        <f t="shared" si="99"/>
        <v>106</v>
      </c>
      <c r="Y485">
        <f t="shared" si="100"/>
        <v>3</v>
      </c>
      <c r="Z485" t="str">
        <f t="shared" si="101"/>
        <v>Not Eligible</v>
      </c>
      <c r="AA485" t="str">
        <f t="shared" si="102"/>
        <v>Prriority Order</v>
      </c>
      <c r="AB485" t="str">
        <f t="shared" si="103"/>
        <v/>
      </c>
    </row>
    <row r="486" spans="1:28">
      <c r="A486" s="5">
        <v>10485</v>
      </c>
      <c r="B486" s="5">
        <v>1992</v>
      </c>
      <c r="C486" s="6">
        <v>45237</v>
      </c>
      <c r="D486" s="6">
        <v>45237</v>
      </c>
      <c r="E486" s="5" t="s">
        <v>82</v>
      </c>
      <c r="F486" s="5" t="s">
        <v>82</v>
      </c>
      <c r="G486" s="5" t="s">
        <v>83</v>
      </c>
      <c r="H486" s="5" t="s">
        <v>108</v>
      </c>
      <c r="I486" s="5" t="s">
        <v>85</v>
      </c>
      <c r="J486" s="5" t="s">
        <v>109</v>
      </c>
      <c r="K486" s="5" t="s">
        <v>111</v>
      </c>
      <c r="L486" s="5">
        <v>2</v>
      </c>
      <c r="M486" s="5">
        <v>1294.84</v>
      </c>
      <c r="N486" s="5">
        <v>15</v>
      </c>
      <c r="O486" s="5">
        <v>2201.23</v>
      </c>
      <c r="P486">
        <f t="shared" si="91"/>
        <v>2589.68</v>
      </c>
      <c r="Q486">
        <f t="shared" si="92"/>
        <v>388.452</v>
      </c>
      <c r="R486">
        <f t="shared" si="93"/>
        <v>2201.228</v>
      </c>
      <c r="S486" t="str">
        <f t="shared" si="94"/>
        <v>Low</v>
      </c>
      <c r="T486" t="str">
        <f t="shared" si="95"/>
        <v>Low</v>
      </c>
      <c r="U486" t="str">
        <f t="shared" si="96"/>
        <v>Heavy Discount</v>
      </c>
      <c r="V486" t="str">
        <f t="shared" si="97"/>
        <v>Average</v>
      </c>
      <c r="W486">
        <f t="shared" si="98"/>
        <v>99</v>
      </c>
      <c r="X486">
        <f t="shared" si="99"/>
        <v>106</v>
      </c>
      <c r="Y486">
        <f t="shared" si="100"/>
        <v>3</v>
      </c>
      <c r="Z486" t="str">
        <f t="shared" si="101"/>
        <v>Not Eligible</v>
      </c>
      <c r="AA486" t="str">
        <f t="shared" si="102"/>
        <v>Normal Order</v>
      </c>
      <c r="AB486" t="str">
        <f t="shared" si="103"/>
        <v>Online</v>
      </c>
    </row>
    <row r="487" spans="1:28">
      <c r="A487" s="5">
        <v>10486</v>
      </c>
      <c r="B487" s="5">
        <v>1115</v>
      </c>
      <c r="C487" s="6">
        <v>45077</v>
      </c>
      <c r="D487" s="6">
        <v>45077</v>
      </c>
      <c r="E487" s="5" t="s">
        <v>82</v>
      </c>
      <c r="F487" s="5" t="s">
        <v>107</v>
      </c>
      <c r="G487" s="5" t="s">
        <v>90</v>
      </c>
      <c r="H487" s="5" t="s">
        <v>108</v>
      </c>
      <c r="I487" s="5" t="s">
        <v>115</v>
      </c>
      <c r="J487" s="5" t="s">
        <v>138</v>
      </c>
      <c r="K487" s="5" t="s">
        <v>99</v>
      </c>
      <c r="L487" s="5">
        <v>9</v>
      </c>
      <c r="M487" s="5">
        <v>775.77</v>
      </c>
      <c r="N487" s="5">
        <v>0</v>
      </c>
      <c r="O487" s="5">
        <v>6981.93</v>
      </c>
      <c r="P487">
        <f t="shared" si="91"/>
        <v>6981.93</v>
      </c>
      <c r="Q487">
        <f t="shared" si="92"/>
        <v>0</v>
      </c>
      <c r="R487">
        <f t="shared" si="93"/>
        <v>6981.93</v>
      </c>
      <c r="S487" t="str">
        <f t="shared" si="94"/>
        <v>High</v>
      </c>
      <c r="T487" t="str">
        <f t="shared" si="95"/>
        <v>High</v>
      </c>
      <c r="U487" t="str">
        <f t="shared" si="96"/>
        <v>Normal Discount</v>
      </c>
      <c r="V487" t="str">
        <f t="shared" si="97"/>
        <v>Good</v>
      </c>
      <c r="W487">
        <f t="shared" si="98"/>
        <v>99</v>
      </c>
      <c r="X487">
        <f t="shared" si="99"/>
        <v>106</v>
      </c>
      <c r="Y487">
        <f t="shared" si="100"/>
        <v>3</v>
      </c>
      <c r="Z487" t="str">
        <f t="shared" si="101"/>
        <v>Eligible</v>
      </c>
      <c r="AA487" t="str">
        <f t="shared" si="102"/>
        <v>Prriority Order</v>
      </c>
      <c r="AB487" t="str">
        <f t="shared" si="103"/>
        <v>Online</v>
      </c>
    </row>
    <row r="488" spans="1:28">
      <c r="A488" s="5">
        <v>10487</v>
      </c>
      <c r="B488" s="5">
        <v>1190</v>
      </c>
      <c r="C488" s="6">
        <v>44966</v>
      </c>
      <c r="D488" s="6">
        <v>44966</v>
      </c>
      <c r="E488" s="5" t="s">
        <v>106</v>
      </c>
      <c r="F488" s="5" t="s">
        <v>82</v>
      </c>
      <c r="G488" s="5" t="s">
        <v>96</v>
      </c>
      <c r="H488" s="5" t="s">
        <v>91</v>
      </c>
      <c r="I488" s="5" t="s">
        <v>123</v>
      </c>
      <c r="J488" s="5" t="s">
        <v>124</v>
      </c>
      <c r="K488" s="5" t="s">
        <v>87</v>
      </c>
      <c r="L488" s="5">
        <v>4</v>
      </c>
      <c r="M488" s="5">
        <v>2751.14</v>
      </c>
      <c r="N488" s="5">
        <v>20</v>
      </c>
      <c r="O488" s="5">
        <v>8803.65</v>
      </c>
      <c r="P488">
        <f t="shared" si="91"/>
        <v>11004.56</v>
      </c>
      <c r="Q488">
        <f t="shared" si="92"/>
        <v>2200.912</v>
      </c>
      <c r="R488">
        <f t="shared" si="93"/>
        <v>8803.648</v>
      </c>
      <c r="S488" t="str">
        <f t="shared" si="94"/>
        <v>Low</v>
      </c>
      <c r="T488" t="str">
        <f t="shared" si="95"/>
        <v>Low</v>
      </c>
      <c r="U488" t="str">
        <f t="shared" si="96"/>
        <v>Heavy Discount</v>
      </c>
      <c r="V488" t="str">
        <f t="shared" si="97"/>
        <v>Excellent Sales</v>
      </c>
      <c r="W488">
        <f t="shared" si="98"/>
        <v>99</v>
      </c>
      <c r="X488">
        <f t="shared" si="99"/>
        <v>106</v>
      </c>
      <c r="Y488">
        <f t="shared" si="100"/>
        <v>2</v>
      </c>
      <c r="Z488" t="str">
        <f t="shared" si="101"/>
        <v>Not Eligible</v>
      </c>
      <c r="AA488" t="str">
        <f t="shared" si="102"/>
        <v>Prriority Order</v>
      </c>
      <c r="AB488" t="str">
        <f t="shared" si="103"/>
        <v/>
      </c>
    </row>
    <row r="489" spans="1:28">
      <c r="A489" s="5">
        <v>10488</v>
      </c>
      <c r="B489" s="5">
        <v>1252</v>
      </c>
      <c r="C489" s="6">
        <v>45284</v>
      </c>
      <c r="D489" s="6">
        <v>45284</v>
      </c>
      <c r="E489" s="5" t="s">
        <v>112</v>
      </c>
      <c r="F489" s="5" t="s">
        <v>82</v>
      </c>
      <c r="G489" s="5" t="s">
        <v>90</v>
      </c>
      <c r="H489" s="5" t="s">
        <v>110</v>
      </c>
      <c r="I489" s="5" t="s">
        <v>123</v>
      </c>
      <c r="J489" s="5" t="s">
        <v>135</v>
      </c>
      <c r="K489" s="5" t="s">
        <v>99</v>
      </c>
      <c r="L489" s="5">
        <v>1</v>
      </c>
      <c r="M489" s="5">
        <v>296.63</v>
      </c>
      <c r="N489" s="5">
        <v>5</v>
      </c>
      <c r="O489" s="5">
        <v>281.8</v>
      </c>
      <c r="P489">
        <f t="shared" si="91"/>
        <v>296.63</v>
      </c>
      <c r="Q489">
        <f t="shared" si="92"/>
        <v>14.8315</v>
      </c>
      <c r="R489">
        <f t="shared" si="93"/>
        <v>281.7985</v>
      </c>
      <c r="S489" t="str">
        <f t="shared" si="94"/>
        <v>Low</v>
      </c>
      <c r="T489" t="str">
        <f t="shared" si="95"/>
        <v>Low</v>
      </c>
      <c r="U489" t="str">
        <f t="shared" si="96"/>
        <v>Heavy Discount</v>
      </c>
      <c r="V489" t="str">
        <f t="shared" si="97"/>
        <v>Average</v>
      </c>
      <c r="W489">
        <f t="shared" si="98"/>
        <v>99</v>
      </c>
      <c r="X489">
        <f t="shared" si="99"/>
        <v>106</v>
      </c>
      <c r="Y489">
        <f t="shared" si="100"/>
        <v>2</v>
      </c>
      <c r="Z489" t="str">
        <f t="shared" si="101"/>
        <v>Not Eligible</v>
      </c>
      <c r="AA489" t="str">
        <f t="shared" si="102"/>
        <v>Normal Order</v>
      </c>
      <c r="AB489" t="str">
        <f t="shared" si="103"/>
        <v>Online</v>
      </c>
    </row>
    <row r="490" spans="1:28">
      <c r="A490" s="5">
        <v>10489</v>
      </c>
      <c r="B490" s="5">
        <v>1980</v>
      </c>
      <c r="C490" s="6">
        <v>45187</v>
      </c>
      <c r="D490" s="6">
        <v>45187</v>
      </c>
      <c r="E490" s="5" t="s">
        <v>100</v>
      </c>
      <c r="F490" s="5" t="s">
        <v>89</v>
      </c>
      <c r="G490" s="5" t="s">
        <v>90</v>
      </c>
      <c r="H490" s="5" t="s">
        <v>84</v>
      </c>
      <c r="I490" s="5" t="s">
        <v>132</v>
      </c>
      <c r="J490" s="5" t="s">
        <v>137</v>
      </c>
      <c r="K490" s="5" t="s">
        <v>99</v>
      </c>
      <c r="L490" s="5">
        <v>8</v>
      </c>
      <c r="M490" s="5">
        <v>2536.88</v>
      </c>
      <c r="N490" s="5">
        <v>5</v>
      </c>
      <c r="O490" s="5">
        <v>19280.29</v>
      </c>
      <c r="P490">
        <f t="shared" si="91"/>
        <v>20295.04</v>
      </c>
      <c r="Q490">
        <f t="shared" si="92"/>
        <v>1014.752</v>
      </c>
      <c r="R490">
        <f t="shared" si="93"/>
        <v>19280.288</v>
      </c>
      <c r="S490" t="str">
        <f t="shared" si="94"/>
        <v>High</v>
      </c>
      <c r="T490" t="str">
        <f t="shared" si="95"/>
        <v>High</v>
      </c>
      <c r="U490" t="str">
        <f t="shared" si="96"/>
        <v>Heavy Discount</v>
      </c>
      <c r="V490" t="str">
        <f t="shared" si="97"/>
        <v>Excellent Sales</v>
      </c>
      <c r="W490">
        <f t="shared" si="98"/>
        <v>99</v>
      </c>
      <c r="X490">
        <f t="shared" si="99"/>
        <v>106</v>
      </c>
      <c r="Y490">
        <f t="shared" si="100"/>
        <v>2</v>
      </c>
      <c r="Z490" t="str">
        <f t="shared" si="101"/>
        <v>Not Eligible</v>
      </c>
      <c r="AA490" t="str">
        <f t="shared" si="102"/>
        <v>Prriority Order</v>
      </c>
      <c r="AB490" t="str">
        <f t="shared" si="103"/>
        <v>Online</v>
      </c>
    </row>
    <row r="491" spans="1:28">
      <c r="A491" s="5">
        <v>10490</v>
      </c>
      <c r="B491" s="5">
        <v>1927</v>
      </c>
      <c r="C491" s="6">
        <v>45261</v>
      </c>
      <c r="D491" s="6">
        <v>45261</v>
      </c>
      <c r="E491" s="5" t="s">
        <v>81</v>
      </c>
      <c r="F491" s="5" t="s">
        <v>95</v>
      </c>
      <c r="G491" s="5" t="s">
        <v>83</v>
      </c>
      <c r="H491" s="5" t="s">
        <v>101</v>
      </c>
      <c r="I491" s="5" t="s">
        <v>97</v>
      </c>
      <c r="J491" s="5" t="s">
        <v>98</v>
      </c>
      <c r="K491" s="5" t="s">
        <v>111</v>
      </c>
      <c r="L491" s="5">
        <v>7</v>
      </c>
      <c r="M491" s="5">
        <v>2838.06</v>
      </c>
      <c r="N491" s="5">
        <v>20</v>
      </c>
      <c r="O491" s="5">
        <v>15893.14</v>
      </c>
      <c r="P491">
        <f t="shared" si="91"/>
        <v>19866.42</v>
      </c>
      <c r="Q491">
        <f t="shared" si="92"/>
        <v>3973.284</v>
      </c>
      <c r="R491">
        <f t="shared" si="93"/>
        <v>15893.136</v>
      </c>
      <c r="S491" t="str">
        <f t="shared" si="94"/>
        <v>High</v>
      </c>
      <c r="T491" t="str">
        <f t="shared" si="95"/>
        <v>High</v>
      </c>
      <c r="U491" t="str">
        <f t="shared" si="96"/>
        <v>Heavy Discount</v>
      </c>
      <c r="V491" t="str">
        <f t="shared" si="97"/>
        <v>Excellent Sales</v>
      </c>
      <c r="W491">
        <f t="shared" si="98"/>
        <v>99</v>
      </c>
      <c r="X491">
        <f t="shared" si="99"/>
        <v>106</v>
      </c>
      <c r="Y491">
        <f t="shared" si="100"/>
        <v>2</v>
      </c>
      <c r="Z491" t="str">
        <f t="shared" si="101"/>
        <v>Not Eligible</v>
      </c>
      <c r="AA491" t="str">
        <f t="shared" si="102"/>
        <v>Prriority Order</v>
      </c>
      <c r="AB491" t="str">
        <f t="shared" si="103"/>
        <v>Online</v>
      </c>
    </row>
    <row r="492" spans="1:28">
      <c r="A492" s="5">
        <v>10491</v>
      </c>
      <c r="B492" s="5">
        <v>1982</v>
      </c>
      <c r="C492" s="6">
        <v>45137</v>
      </c>
      <c r="D492" s="6">
        <v>45137</v>
      </c>
      <c r="E492" s="5" t="s">
        <v>82</v>
      </c>
      <c r="F492" s="5" t="s">
        <v>95</v>
      </c>
      <c r="G492" s="5" t="s">
        <v>83</v>
      </c>
      <c r="H492" s="5" t="s">
        <v>110</v>
      </c>
      <c r="I492" s="5" t="s">
        <v>115</v>
      </c>
      <c r="J492" s="5" t="s">
        <v>138</v>
      </c>
      <c r="K492" s="5" t="s">
        <v>94</v>
      </c>
      <c r="L492" s="5">
        <v>5</v>
      </c>
      <c r="M492" s="5">
        <v>977.43</v>
      </c>
      <c r="N492" s="5">
        <v>20</v>
      </c>
      <c r="O492" s="5">
        <v>3909.72</v>
      </c>
      <c r="P492">
        <f t="shared" si="91"/>
        <v>4887.15</v>
      </c>
      <c r="Q492">
        <f t="shared" si="92"/>
        <v>977.43</v>
      </c>
      <c r="R492">
        <f t="shared" si="93"/>
        <v>3909.72</v>
      </c>
      <c r="S492" t="str">
        <f t="shared" si="94"/>
        <v>High</v>
      </c>
      <c r="T492" t="str">
        <f t="shared" si="95"/>
        <v>Medium</v>
      </c>
      <c r="U492" t="str">
        <f t="shared" si="96"/>
        <v>Heavy Discount</v>
      </c>
      <c r="V492" t="str">
        <f t="shared" si="97"/>
        <v>Average</v>
      </c>
      <c r="W492">
        <f t="shared" si="98"/>
        <v>99</v>
      </c>
      <c r="X492">
        <f t="shared" si="99"/>
        <v>106</v>
      </c>
      <c r="Y492">
        <f t="shared" si="100"/>
        <v>2</v>
      </c>
      <c r="Z492" t="str">
        <f t="shared" si="101"/>
        <v>Not Eligible</v>
      </c>
      <c r="AA492" t="str">
        <f t="shared" si="102"/>
        <v>Normal Order</v>
      </c>
      <c r="AB492" t="str">
        <f t="shared" si="103"/>
        <v>Online</v>
      </c>
    </row>
    <row r="493" spans="1:28">
      <c r="A493" s="5">
        <v>10492</v>
      </c>
      <c r="B493" s="5">
        <v>1160</v>
      </c>
      <c r="C493" s="6">
        <v>45140</v>
      </c>
      <c r="D493" s="6">
        <v>45140</v>
      </c>
      <c r="E493" s="5" t="s">
        <v>82</v>
      </c>
      <c r="F493" s="5" t="s">
        <v>104</v>
      </c>
      <c r="G493" s="5" t="s">
        <v>90</v>
      </c>
      <c r="H493" s="5" t="s">
        <v>91</v>
      </c>
      <c r="I493" s="5" t="s">
        <v>97</v>
      </c>
      <c r="J493" s="5" t="s">
        <v>98</v>
      </c>
      <c r="K493" s="5" t="s">
        <v>113</v>
      </c>
      <c r="L493" s="5">
        <v>5</v>
      </c>
      <c r="M493" s="5">
        <v>311.56</v>
      </c>
      <c r="N493" s="5">
        <v>0</v>
      </c>
      <c r="O493" s="5">
        <v>1557.8</v>
      </c>
      <c r="P493">
        <f t="shared" si="91"/>
        <v>1557.8</v>
      </c>
      <c r="Q493">
        <f t="shared" si="92"/>
        <v>0</v>
      </c>
      <c r="R493">
        <f t="shared" si="93"/>
        <v>1557.8</v>
      </c>
      <c r="S493" t="str">
        <f t="shared" si="94"/>
        <v>High</v>
      </c>
      <c r="T493" t="str">
        <f t="shared" si="95"/>
        <v>Medium</v>
      </c>
      <c r="U493" t="str">
        <f t="shared" si="96"/>
        <v>Normal Discount</v>
      </c>
      <c r="V493" t="str">
        <f t="shared" si="97"/>
        <v>Average</v>
      </c>
      <c r="W493">
        <f t="shared" si="98"/>
        <v>99</v>
      </c>
      <c r="X493">
        <f t="shared" si="99"/>
        <v>106</v>
      </c>
      <c r="Y493">
        <f t="shared" si="100"/>
        <v>1</v>
      </c>
      <c r="Z493" t="str">
        <f t="shared" si="101"/>
        <v>Eligible</v>
      </c>
      <c r="AA493" t="str">
        <f t="shared" si="102"/>
        <v>Normal Order</v>
      </c>
      <c r="AB493" t="str">
        <f t="shared" si="103"/>
        <v>Online</v>
      </c>
    </row>
    <row r="494" spans="1:28">
      <c r="A494" s="5">
        <v>10493</v>
      </c>
      <c r="B494" s="5">
        <v>1255</v>
      </c>
      <c r="C494" s="6">
        <v>45043</v>
      </c>
      <c r="D494" s="6">
        <v>45043</v>
      </c>
      <c r="E494" s="5" t="s">
        <v>106</v>
      </c>
      <c r="F494" s="5" t="s">
        <v>82</v>
      </c>
      <c r="G494" s="5" t="s">
        <v>90</v>
      </c>
      <c r="H494" s="5" t="s">
        <v>110</v>
      </c>
      <c r="I494" s="5" t="s">
        <v>115</v>
      </c>
      <c r="J494" s="5" t="s">
        <v>143</v>
      </c>
      <c r="K494" s="5" t="s">
        <v>94</v>
      </c>
      <c r="L494" s="5">
        <v>7</v>
      </c>
      <c r="M494" s="5">
        <v>1550.03</v>
      </c>
      <c r="N494" s="5">
        <v>10</v>
      </c>
      <c r="O494" s="5">
        <v>9765.19</v>
      </c>
      <c r="P494">
        <f t="shared" si="91"/>
        <v>10850.21</v>
      </c>
      <c r="Q494">
        <f t="shared" si="92"/>
        <v>1085.021</v>
      </c>
      <c r="R494">
        <f t="shared" si="93"/>
        <v>9765.189</v>
      </c>
      <c r="S494" t="str">
        <f t="shared" si="94"/>
        <v>High</v>
      </c>
      <c r="T494" t="str">
        <f t="shared" si="95"/>
        <v>High</v>
      </c>
      <c r="U494" t="str">
        <f t="shared" si="96"/>
        <v>Heavy Discount</v>
      </c>
      <c r="V494" t="str">
        <f t="shared" si="97"/>
        <v>Excellent Sales</v>
      </c>
      <c r="W494">
        <f t="shared" si="98"/>
        <v>99</v>
      </c>
      <c r="X494">
        <f t="shared" si="99"/>
        <v>106</v>
      </c>
      <c r="Y494">
        <f t="shared" si="100"/>
        <v>1</v>
      </c>
      <c r="Z494" t="str">
        <f t="shared" si="101"/>
        <v>Not Eligible</v>
      </c>
      <c r="AA494" t="str">
        <f t="shared" si="102"/>
        <v>Prriority Order</v>
      </c>
      <c r="AB494" t="str">
        <f t="shared" si="103"/>
        <v>Online</v>
      </c>
    </row>
    <row r="495" spans="1:28">
      <c r="A495" s="5">
        <v>10494</v>
      </c>
      <c r="B495" s="5">
        <v>1322</v>
      </c>
      <c r="C495" s="6">
        <v>45154</v>
      </c>
      <c r="D495" s="6">
        <v>45154</v>
      </c>
      <c r="E495" s="5" t="s">
        <v>103</v>
      </c>
      <c r="F495" s="5" t="s">
        <v>107</v>
      </c>
      <c r="G495" s="5" t="s">
        <v>83</v>
      </c>
      <c r="H495" s="5" t="s">
        <v>110</v>
      </c>
      <c r="I495" s="5" t="s">
        <v>132</v>
      </c>
      <c r="J495" s="5" t="s">
        <v>142</v>
      </c>
      <c r="K495" s="5" t="s">
        <v>111</v>
      </c>
      <c r="L495" s="5">
        <v>5</v>
      </c>
      <c r="M495" s="5">
        <v>529.59</v>
      </c>
      <c r="N495" s="5">
        <v>5</v>
      </c>
      <c r="O495" s="5">
        <v>2515.55</v>
      </c>
      <c r="P495">
        <f t="shared" si="91"/>
        <v>2647.95</v>
      </c>
      <c r="Q495">
        <f t="shared" si="92"/>
        <v>132.3975</v>
      </c>
      <c r="R495">
        <f t="shared" si="93"/>
        <v>2515.5525</v>
      </c>
      <c r="S495" t="str">
        <f t="shared" si="94"/>
        <v>High</v>
      </c>
      <c r="T495" t="str">
        <f t="shared" si="95"/>
        <v>Medium</v>
      </c>
      <c r="U495" t="str">
        <f t="shared" si="96"/>
        <v>Heavy Discount</v>
      </c>
      <c r="V495" t="str">
        <f t="shared" si="97"/>
        <v>Average</v>
      </c>
      <c r="W495">
        <f t="shared" si="98"/>
        <v>99</v>
      </c>
      <c r="X495">
        <f t="shared" si="99"/>
        <v>106</v>
      </c>
      <c r="Y495">
        <f t="shared" si="100"/>
        <v>0</v>
      </c>
      <c r="Z495" t="str">
        <f t="shared" si="101"/>
        <v>Not Eligible</v>
      </c>
      <c r="AA495" t="str">
        <f t="shared" si="102"/>
        <v>Normal Order</v>
      </c>
      <c r="AB495" t="str">
        <f t="shared" si="103"/>
        <v>Online</v>
      </c>
    </row>
    <row r="496" spans="1:28">
      <c r="A496" s="5">
        <v>10495</v>
      </c>
      <c r="B496" s="5">
        <v>1127</v>
      </c>
      <c r="C496" s="6">
        <v>45063</v>
      </c>
      <c r="D496" s="6">
        <v>45063</v>
      </c>
      <c r="E496" s="5" t="s">
        <v>81</v>
      </c>
      <c r="F496" s="5" t="s">
        <v>89</v>
      </c>
      <c r="G496" s="5" t="s">
        <v>96</v>
      </c>
      <c r="H496" s="5" t="s">
        <v>91</v>
      </c>
      <c r="I496" s="5" t="s">
        <v>132</v>
      </c>
      <c r="J496" s="5" t="s">
        <v>134</v>
      </c>
      <c r="K496" s="5" t="s">
        <v>111</v>
      </c>
      <c r="L496" s="5">
        <v>8</v>
      </c>
      <c r="M496" s="5">
        <v>598.44</v>
      </c>
      <c r="N496" s="5">
        <v>0</v>
      </c>
      <c r="O496" s="5">
        <v>4787.52</v>
      </c>
      <c r="P496">
        <f t="shared" si="91"/>
        <v>4787.52</v>
      </c>
      <c r="Q496">
        <f t="shared" si="92"/>
        <v>0</v>
      </c>
      <c r="R496">
        <f t="shared" si="93"/>
        <v>4787.52</v>
      </c>
      <c r="S496" t="str">
        <f t="shared" si="94"/>
        <v>High</v>
      </c>
      <c r="T496" t="str">
        <f t="shared" si="95"/>
        <v>High</v>
      </c>
      <c r="U496" t="str">
        <f t="shared" si="96"/>
        <v>Normal Discount</v>
      </c>
      <c r="V496" t="str">
        <f t="shared" si="97"/>
        <v>Good</v>
      </c>
      <c r="W496">
        <f t="shared" si="98"/>
        <v>99</v>
      </c>
      <c r="X496">
        <f t="shared" si="99"/>
        <v>106</v>
      </c>
      <c r="Y496">
        <f t="shared" si="100"/>
        <v>0</v>
      </c>
      <c r="Z496" t="str">
        <f t="shared" si="101"/>
        <v>Eligible</v>
      </c>
      <c r="AA496" t="str">
        <f t="shared" si="102"/>
        <v>Prriority Order</v>
      </c>
      <c r="AB496" t="str">
        <f t="shared" si="103"/>
        <v/>
      </c>
    </row>
    <row r="497" spans="1:28">
      <c r="A497" s="5">
        <v>10496</v>
      </c>
      <c r="B497" s="5">
        <v>1017</v>
      </c>
      <c r="C497" s="6">
        <v>45178</v>
      </c>
      <c r="D497" s="6">
        <v>45178</v>
      </c>
      <c r="E497" s="5" t="s">
        <v>81</v>
      </c>
      <c r="F497" s="5" t="s">
        <v>89</v>
      </c>
      <c r="G497" s="5" t="s">
        <v>83</v>
      </c>
      <c r="H497" s="5" t="s">
        <v>108</v>
      </c>
      <c r="I497" s="5" t="s">
        <v>123</v>
      </c>
      <c r="J497" s="5" t="s">
        <v>135</v>
      </c>
      <c r="K497" s="5" t="s">
        <v>111</v>
      </c>
      <c r="L497" s="5">
        <v>6</v>
      </c>
      <c r="M497" s="5">
        <v>1128.91</v>
      </c>
      <c r="N497" s="5">
        <v>20</v>
      </c>
      <c r="O497" s="5">
        <v>5418.77</v>
      </c>
      <c r="P497">
        <f t="shared" si="91"/>
        <v>6773.46</v>
      </c>
      <c r="Q497">
        <f t="shared" si="92"/>
        <v>1354.692</v>
      </c>
      <c r="R497">
        <f t="shared" si="93"/>
        <v>5418.768</v>
      </c>
      <c r="S497" t="str">
        <f t="shared" si="94"/>
        <v>High</v>
      </c>
      <c r="T497" t="str">
        <f t="shared" si="95"/>
        <v>High</v>
      </c>
      <c r="U497" t="str">
        <f t="shared" si="96"/>
        <v>Heavy Discount</v>
      </c>
      <c r="V497" t="str">
        <f t="shared" si="97"/>
        <v>Good</v>
      </c>
      <c r="W497">
        <f t="shared" si="98"/>
        <v>99</v>
      </c>
      <c r="X497">
        <f t="shared" si="99"/>
        <v>106</v>
      </c>
      <c r="Y497">
        <f t="shared" si="100"/>
        <v>0</v>
      </c>
      <c r="Z497" t="str">
        <f t="shared" si="101"/>
        <v>Not Eligible</v>
      </c>
      <c r="AA497" t="str">
        <f t="shared" si="102"/>
        <v>Prriority Order</v>
      </c>
      <c r="AB497" t="str">
        <f t="shared" si="103"/>
        <v>Online</v>
      </c>
    </row>
    <row r="498" spans="1:28">
      <c r="A498" s="5">
        <v>10497</v>
      </c>
      <c r="B498" s="5">
        <v>1792</v>
      </c>
      <c r="C498" s="6">
        <v>45151</v>
      </c>
      <c r="D498" s="6">
        <v>45151</v>
      </c>
      <c r="E498" s="5" t="s">
        <v>82</v>
      </c>
      <c r="F498" s="5" t="s">
        <v>95</v>
      </c>
      <c r="G498" s="5" t="s">
        <v>90</v>
      </c>
      <c r="H498" s="5" t="s">
        <v>108</v>
      </c>
      <c r="I498" s="5" t="s">
        <v>97</v>
      </c>
      <c r="J498" s="5" t="s">
        <v>105</v>
      </c>
      <c r="K498" s="5" t="s">
        <v>87</v>
      </c>
      <c r="L498" s="5">
        <v>5</v>
      </c>
      <c r="M498" s="5">
        <v>1287.55</v>
      </c>
      <c r="N498" s="5">
        <v>0</v>
      </c>
      <c r="O498" s="5">
        <v>6437.75</v>
      </c>
      <c r="P498">
        <f t="shared" si="91"/>
        <v>6437.75</v>
      </c>
      <c r="Q498">
        <f t="shared" si="92"/>
        <v>0</v>
      </c>
      <c r="R498">
        <f t="shared" si="93"/>
        <v>6437.75</v>
      </c>
      <c r="S498" t="str">
        <f t="shared" si="94"/>
        <v>High</v>
      </c>
      <c r="T498" t="str">
        <f t="shared" si="95"/>
        <v>Medium</v>
      </c>
      <c r="U498" t="str">
        <f t="shared" si="96"/>
        <v>Normal Discount</v>
      </c>
      <c r="V498" t="str">
        <f t="shared" si="97"/>
        <v>Good</v>
      </c>
      <c r="W498">
        <f t="shared" si="98"/>
        <v>99</v>
      </c>
      <c r="X498">
        <f t="shared" si="99"/>
        <v>106</v>
      </c>
      <c r="Y498">
        <f t="shared" si="100"/>
        <v>0</v>
      </c>
      <c r="Z498" t="str">
        <f t="shared" si="101"/>
        <v>Eligible</v>
      </c>
      <c r="AA498" t="str">
        <f t="shared" si="102"/>
        <v>Normal Order</v>
      </c>
      <c r="AB498" t="str">
        <f t="shared" si="103"/>
        <v>Online</v>
      </c>
    </row>
    <row r="499" spans="1:28">
      <c r="A499" s="5">
        <v>10498</v>
      </c>
      <c r="B499" s="5">
        <v>1734</v>
      </c>
      <c r="C499" s="6">
        <v>45025</v>
      </c>
      <c r="D499" s="6">
        <v>45025</v>
      </c>
      <c r="E499" s="5" t="s">
        <v>112</v>
      </c>
      <c r="F499" s="5" t="s">
        <v>82</v>
      </c>
      <c r="G499" s="5" t="s">
        <v>96</v>
      </c>
      <c r="H499" s="5" t="s">
        <v>84</v>
      </c>
      <c r="I499" s="5" t="s">
        <v>92</v>
      </c>
      <c r="J499" s="5" t="s">
        <v>102</v>
      </c>
      <c r="K499" s="5" t="s">
        <v>94</v>
      </c>
      <c r="L499" s="5">
        <v>9</v>
      </c>
      <c r="M499" s="5">
        <v>2190.39</v>
      </c>
      <c r="N499" s="5">
        <v>20</v>
      </c>
      <c r="O499" s="5">
        <v>15770.81</v>
      </c>
      <c r="P499">
        <f t="shared" si="91"/>
        <v>19713.51</v>
      </c>
      <c r="Q499">
        <f t="shared" si="92"/>
        <v>3942.702</v>
      </c>
      <c r="R499">
        <f t="shared" si="93"/>
        <v>15770.808</v>
      </c>
      <c r="S499" t="str">
        <f t="shared" si="94"/>
        <v>High</v>
      </c>
      <c r="T499" t="str">
        <f t="shared" si="95"/>
        <v>High</v>
      </c>
      <c r="U499" t="str">
        <f t="shared" si="96"/>
        <v>Heavy Discount</v>
      </c>
      <c r="V499" t="str">
        <f t="shared" si="97"/>
        <v>Excellent Sales</v>
      </c>
      <c r="W499">
        <f t="shared" si="98"/>
        <v>99</v>
      </c>
      <c r="X499">
        <f t="shared" si="99"/>
        <v>106</v>
      </c>
      <c r="Y499">
        <f t="shared" si="100"/>
        <v>0</v>
      </c>
      <c r="Z499" t="str">
        <f t="shared" si="101"/>
        <v>Not Eligible</v>
      </c>
      <c r="AA499" t="str">
        <f t="shared" si="102"/>
        <v>Prriority Order</v>
      </c>
      <c r="AB499" t="str">
        <f t="shared" si="103"/>
        <v/>
      </c>
    </row>
    <row r="500" spans="1:28">
      <c r="A500" s="5">
        <v>10499</v>
      </c>
      <c r="B500" s="5">
        <v>1565</v>
      </c>
      <c r="C500" s="6">
        <v>45283</v>
      </c>
      <c r="D500" s="6">
        <v>45283</v>
      </c>
      <c r="E500" s="5" t="s">
        <v>103</v>
      </c>
      <c r="F500" s="5" t="s">
        <v>104</v>
      </c>
      <c r="G500" s="5" t="s">
        <v>90</v>
      </c>
      <c r="H500" s="5" t="s">
        <v>84</v>
      </c>
      <c r="I500" s="5" t="s">
        <v>123</v>
      </c>
      <c r="J500" s="5" t="s">
        <v>135</v>
      </c>
      <c r="K500" s="5" t="s">
        <v>94</v>
      </c>
      <c r="L500" s="5">
        <v>2</v>
      </c>
      <c r="M500" s="5">
        <v>2761.81</v>
      </c>
      <c r="N500" s="5">
        <v>15</v>
      </c>
      <c r="O500" s="5">
        <v>4695.08</v>
      </c>
      <c r="P500">
        <f t="shared" si="91"/>
        <v>5523.62</v>
      </c>
      <c r="Q500">
        <f t="shared" si="92"/>
        <v>828.543</v>
      </c>
      <c r="R500">
        <f t="shared" si="93"/>
        <v>4695.077</v>
      </c>
      <c r="S500" t="str">
        <f t="shared" si="94"/>
        <v>Low</v>
      </c>
      <c r="T500" t="str">
        <f t="shared" si="95"/>
        <v>Low</v>
      </c>
      <c r="U500" t="str">
        <f t="shared" si="96"/>
        <v>Heavy Discount</v>
      </c>
      <c r="V500" t="str">
        <f t="shared" si="97"/>
        <v>Good</v>
      </c>
      <c r="W500">
        <f t="shared" si="98"/>
        <v>99</v>
      </c>
      <c r="X500">
        <f t="shared" si="99"/>
        <v>106</v>
      </c>
      <c r="Y500">
        <f t="shared" si="100"/>
        <v>0</v>
      </c>
      <c r="Z500" t="str">
        <f t="shared" si="101"/>
        <v>Not Eligible</v>
      </c>
      <c r="AA500" t="str">
        <f t="shared" si="102"/>
        <v>Normal Order</v>
      </c>
      <c r="AB500" t="str">
        <f t="shared" si="103"/>
        <v>Online</v>
      </c>
    </row>
    <row r="501" spans="1:28">
      <c r="A501" s="5">
        <v>10500</v>
      </c>
      <c r="B501" s="5">
        <v>1569</v>
      </c>
      <c r="C501" s="6">
        <v>44977</v>
      </c>
      <c r="D501" s="6">
        <v>44977</v>
      </c>
      <c r="E501" s="5" t="s">
        <v>81</v>
      </c>
      <c r="F501" s="5" t="s">
        <v>82</v>
      </c>
      <c r="G501" s="5" t="s">
        <v>96</v>
      </c>
      <c r="H501" s="5" t="s">
        <v>108</v>
      </c>
      <c r="I501" s="5" t="s">
        <v>97</v>
      </c>
      <c r="J501" s="5" t="s">
        <v>140</v>
      </c>
      <c r="K501" s="5" t="s">
        <v>99</v>
      </c>
      <c r="L501" s="5">
        <v>1</v>
      </c>
      <c r="M501" s="5">
        <v>2432.17</v>
      </c>
      <c r="N501" s="5">
        <v>20</v>
      </c>
      <c r="O501" s="5">
        <v>1945.74</v>
      </c>
      <c r="P501">
        <f t="shared" si="91"/>
        <v>2432.17</v>
      </c>
      <c r="Q501">
        <f t="shared" si="92"/>
        <v>486.434</v>
      </c>
      <c r="R501">
        <f t="shared" si="93"/>
        <v>1945.736</v>
      </c>
      <c r="S501" t="str">
        <f t="shared" si="94"/>
        <v>Low</v>
      </c>
      <c r="T501" t="str">
        <f t="shared" si="95"/>
        <v>Low</v>
      </c>
      <c r="U501" t="str">
        <f t="shared" si="96"/>
        <v>Heavy Discount</v>
      </c>
      <c r="V501" t="str">
        <f t="shared" si="97"/>
        <v>Average</v>
      </c>
      <c r="W501">
        <f t="shared" si="98"/>
        <v>99</v>
      </c>
      <c r="X501">
        <f t="shared" si="99"/>
        <v>106</v>
      </c>
      <c r="Y501">
        <f t="shared" si="100"/>
        <v>0</v>
      </c>
      <c r="Z501" t="str">
        <f t="shared" si="101"/>
        <v>Not Eligible</v>
      </c>
      <c r="AA501" t="str">
        <f t="shared" si="102"/>
        <v>Normal Order</v>
      </c>
      <c r="AB501" t="str">
        <f t="shared" si="103"/>
        <v/>
      </c>
    </row>
  </sheetData>
  <pageMargins left="0.7" right="0.7" top="0.75" bottom="0.75" header="0.3" footer="0.3"/>
  <headerFooter/>
  <ignoredErrors>
    <ignoredError sqref="A1:AD1 Z2:AA501 A2:X501 AC2:AD50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User</cp:lastModifiedBy>
  <dcterms:created xsi:type="dcterms:W3CDTF">2026-07-31T09:27:00Z</dcterms:created>
  <dcterms:modified xsi:type="dcterms:W3CDTF">2026-08-03T18:38:31Z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630AF6125255463FB84DCE61A27A2997_13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