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1411bb8e703aa2/Desktop/Documents/"/>
    </mc:Choice>
  </mc:AlternateContent>
  <xr:revisionPtr revIDLastSave="0" documentId="8_{DA85E68C-3C67-47D4-BA1C-7DA1D8E3B88F}" xr6:coauthVersionLast="47" xr6:coauthVersionMax="47" xr10:uidLastSave="{00000000-0000-0000-0000-000000000000}"/>
  <bookViews>
    <workbookView xWindow="-110" yWindow="-110" windowWidth="25820" windowHeight="15500" xr2:uid="{763C0092-9B7F-4851-A676-CA729B6CA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" l="1"/>
  <c r="H51" i="1"/>
  <c r="H49" i="1"/>
  <c r="H48" i="1"/>
  <c r="I44" i="1"/>
  <c r="I42" i="1"/>
  <c r="I40" i="1"/>
  <c r="I39" i="1"/>
  <c r="I38" i="1"/>
  <c r="I30" i="1"/>
  <c r="I28" i="1"/>
  <c r="I26" i="1"/>
  <c r="I25" i="1"/>
  <c r="I24" i="1"/>
  <c r="H12" i="1"/>
  <c r="H9" i="1"/>
  <c r="H6" i="1"/>
  <c r="H5" i="1"/>
  <c r="H4" i="1"/>
  <c r="H3" i="1"/>
</calcChain>
</file>

<file path=xl/sharedStrings.xml><?xml version="1.0" encoding="utf-8"?>
<sst xmlns="http://schemas.openxmlformats.org/spreadsheetml/2006/main" count="161" uniqueCount="106">
  <si>
    <t>EmP ID</t>
  </si>
  <si>
    <t>Name</t>
  </si>
  <si>
    <t>Department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</si>
  <si>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</si>
  <si>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</si>
  <si>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</si>
  <si>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</si>
  <si>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</si>
  <si>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</si>
  <si>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</si>
  <si>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</si>
  <si>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</si>
  <si>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</si>
  <si>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</si>
  <si>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</si>
  <si>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</si>
  <si>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</si>
  <si>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</si>
  <si>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</si>
  <si>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</si>
  <si>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</si>
  <si>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Marketing</t>
  </si>
  <si>
    <t>Finance</t>
  </si>
  <si>
    <t>HR</t>
  </si>
  <si>
    <t>IT</t>
  </si>
  <si>
    <t>Chennai</t>
  </si>
  <si>
    <t>Mumbai</t>
  </si>
  <si>
    <t>Delhi</t>
  </si>
  <si>
    <t>Pune</t>
  </si>
  <si>
    <t>Bangalore</t>
  </si>
  <si>
    <t>Kolkata</t>
  </si>
  <si>
    <t>1. Find the Name of employee with Emp ID E104 using VLOOKUP</t>
  </si>
  <si>
    <t>2. Find the Department of employee E103.</t>
  </si>
  <si>
    <t>6.If Emp ID is entered in any cell, retrieve the Department.</t>
  </si>
  <si>
    <t xml:space="preserve">Student ID </t>
  </si>
  <si>
    <t>Maths</t>
  </si>
  <si>
    <t>Science</t>
  </si>
  <si>
    <t>English</t>
  </si>
  <si>
    <t>S101</t>
  </si>
  <si>
    <t>S102</t>
  </si>
  <si>
    <t>S103</t>
  </si>
  <si>
    <t>S104</t>
  </si>
  <si>
    <t>S105</t>
  </si>
  <si>
    <t>Asha</t>
  </si>
  <si>
    <t>Ravi</t>
  </si>
  <si>
    <t>Meena</t>
  </si>
  <si>
    <t>Kiran</t>
  </si>
  <si>
    <t>1.Find Maths marks of S103.</t>
  </si>
  <si>
    <t>2. Find Science marks of S102.</t>
  </si>
  <si>
    <t>3.Find English marks of S105.</t>
  </si>
  <si>
    <t>4.If Student ID is entered in any cell, return the Name.</t>
  </si>
  <si>
    <t>5. Retrieve Science marks dynamically using Student ID in any cell.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</si>
  <si>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</si>
  <si>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</si>
  <si>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</si>
  <si>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</si>
  <si>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</si>
  <si>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</si>
  <si>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</si>
  <si>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</si>
  <si>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</si>
  <si>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</si>
  <si>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</si>
  <si>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</si>
  <si>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</si>
  <si>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</si>
  <si>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ID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</si>
  <si>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</si>
  <si>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</si>
  <si>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</si>
  <si>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</si>
  <si>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</si>
  <si>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</si>
  <si>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</si>
  <si>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</si>
  <si>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</si>
  <si>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</si>
  <si>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</si>
  <si>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</si>
  <si>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C105</t>
  </si>
  <si>
    <t>Aman</t>
  </si>
  <si>
    <t>Python</t>
  </si>
  <si>
    <t>Tableau</t>
  </si>
  <si>
    <t>1.Find the Price of product P103 using HLOOKUP.</t>
  </si>
  <si>
    <t>2.Find the stock of P104.</t>
  </si>
  <si>
    <t>3. Retrieve the Product Name of P101.</t>
  </si>
  <si>
    <t>4. If Product ID is entered in any cell , return the Price.</t>
  </si>
  <si>
    <t>5. If Product ID is entered in any cell, return the Stock.</t>
  </si>
  <si>
    <t>1. Retrieve Course name for C103.</t>
  </si>
  <si>
    <t>2. Retrieve Fees for C104.</t>
  </si>
  <si>
    <t>3.If Course ID entered in any cell,display Name.</t>
  </si>
  <si>
    <t>4. If Course ID entered in  any cell, display Fees.</t>
  </si>
  <si>
    <t>3. Find the Salary of employee E108.</t>
  </si>
  <si>
    <t>4. Find the city of employee E105.</t>
  </si>
  <si>
    <t>5.If Emp ID is entered in any cell, retrieve the salary automatically.</t>
  </si>
  <si>
    <t>1)</t>
  </si>
  <si>
    <t>2)</t>
  </si>
  <si>
    <t>3)</t>
  </si>
  <si>
    <t>4)</t>
  </si>
  <si>
    <t>5)</t>
  </si>
  <si>
    <t>Emp ID</t>
  </si>
  <si>
    <t>6)</t>
  </si>
  <si>
    <t>Student ID</t>
  </si>
  <si>
    <t xml:space="preserve">Science </t>
  </si>
  <si>
    <t xml:space="preserve">Product ID </t>
  </si>
  <si>
    <t>Course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</si>
</sst>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49D2-0312-4CBE-A467-2F7FF80ACB52}">
  <dimension ref="A1:J53"/>
  <sheetViews>
    <sheetView tabSelected="1" zoomScale="104" zoomScaleNormal="100" workbookViewId="0">
      <selection activeCell="G53" sqref="G53"/>
    </sheetView>
  </sheetViews>
  <sheetFormatPr defaultRowHeight="14.5" x14ac:dyDescent="0.35"/>
  <cols>
    <col min="1" max="1" width="13.54296875" customWidth="1"/>
    <col min="2" max="2" width="9.90625" customWidth="1"/>
    <col min="3" max="3" width="11.453125" customWidth="1"/>
    <col min="7" max="7" width="10.08984375" customWidth="1"/>
    <col min="8" max="8" width="11" customWidth="1"/>
    <col min="9" max="9" width="14.54296875" customWidth="1"/>
    <col min="10" max="10" width="55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5">
      <c r="A2" s="1" t="s">
        <v>5</v>
      </c>
      <c r="B2" s="1" t="s">
        <v>13</v>
      </c>
      <c r="C2" s="1" t="s">
        <v>23</v>
      </c>
      <c r="D2" s="1">
        <v>35000</v>
      </c>
      <c r="E2" s="1" t="s">
        <v>27</v>
      </c>
    </row>
    <row r="3" spans="1:10" x14ac:dyDescent="0.35">
      <c r="A3" s="1" t="s">
        <v>6</v>
      </c>
      <c r="B3" s="1" t="s">
        <v>14</v>
      </c>
      <c r="C3" s="1" t="s">
        <v>24</v>
      </c>
      <c r="D3" s="1">
        <v>50000</v>
      </c>
      <c r="E3" s="1" t="s">
        <v>26</v>
      </c>
      <c r="F3" s="6" t="s">
        <v>95</v>
      </c>
      <c r="G3" t="s">
        <v>8</v>
      </c>
      <c r="H3" t="str">
        <f>VLOOKUP(G3,A1:E9,2,0)</f>
        <v>Priya</v>
      </c>
    </row>
    <row r="4" spans="1:10" x14ac:dyDescent="0.35">
      <c r="A4" s="1" t="s">
        <v>7</v>
      </c>
      <c r="B4" s="1" t="s">
        <v>15</v>
      </c>
      <c r="C4" s="1" t="s">
        <v>22</v>
      </c>
      <c r="D4" s="1">
        <v>45000</v>
      </c>
      <c r="E4" s="1" t="s">
        <v>30</v>
      </c>
      <c r="F4" s="6" t="s">
        <v>96</v>
      </c>
      <c r="G4" t="s">
        <v>7</v>
      </c>
      <c r="H4" t="str">
        <f>VLOOKUP(G4,A1:E9,3,0)</f>
        <v>Finance</v>
      </c>
    </row>
    <row r="5" spans="1:10" x14ac:dyDescent="0.35">
      <c r="A5" s="1" t="s">
        <v>8</v>
      </c>
      <c r="B5" s="1" t="s">
        <v>16</v>
      </c>
      <c r="C5" s="1" t="s">
        <v>24</v>
      </c>
      <c r="D5" s="1">
        <v>52000</v>
      </c>
      <c r="E5" s="1" t="s">
        <v>29</v>
      </c>
      <c r="F5" s="6" t="s">
        <v>97</v>
      </c>
      <c r="G5" t="s">
        <v>12</v>
      </c>
      <c r="H5">
        <f>VLOOKUP(G5,A1:E9,4,0)</f>
        <v>42000</v>
      </c>
    </row>
    <row r="6" spans="1:10" x14ac:dyDescent="0.35">
      <c r="A6" s="1" t="s">
        <v>9</v>
      </c>
      <c r="B6" s="1" t="s">
        <v>17</v>
      </c>
      <c r="C6" s="1" t="s">
        <v>21</v>
      </c>
      <c r="D6" s="1">
        <v>40000</v>
      </c>
      <c r="E6" s="1" t="s">
        <v>28</v>
      </c>
      <c r="F6" s="7" t="s">
        <v>98</v>
      </c>
      <c r="G6" t="s">
        <v>9</v>
      </c>
      <c r="H6" t="str">
        <f>VLOOKUP(G6,A1:E9,5,0)</f>
        <v>Pune</v>
      </c>
    </row>
    <row r="7" spans="1:10" x14ac:dyDescent="0.35">
      <c r="A7" s="1" t="s">
        <v>10</v>
      </c>
      <c r="B7" s="1" t="s">
        <v>18</v>
      </c>
      <c r="C7" s="1" t="s">
        <v>23</v>
      </c>
      <c r="D7" s="1">
        <v>36000</v>
      </c>
      <c r="E7" s="1" t="s">
        <v>27</v>
      </c>
      <c r="F7" s="7"/>
    </row>
    <row r="8" spans="1:10" x14ac:dyDescent="0.35">
      <c r="A8" s="1" t="s">
        <v>11</v>
      </c>
      <c r="B8" s="1" t="s">
        <v>19</v>
      </c>
      <c r="C8" s="1" t="s">
        <v>22</v>
      </c>
      <c r="D8" s="1">
        <v>47000</v>
      </c>
      <c r="E8" s="1" t="s">
        <v>26</v>
      </c>
      <c r="F8" s="7" t="s">
        <v>99</v>
      </c>
      <c r="G8" s="7" t="s">
        <v>100</v>
      </c>
      <c r="H8" s="7" t="s">
        <v>3</v>
      </c>
    </row>
    <row r="9" spans="1:10" x14ac:dyDescent="0.35">
      <c r="A9" s="1" t="s">
        <v>12</v>
      </c>
      <c r="B9" s="1" t="s">
        <v>20</v>
      </c>
      <c r="C9" s="1" t="s">
        <v>21</v>
      </c>
      <c r="D9" s="1">
        <v>42000</v>
      </c>
      <c r="E9" s="1" t="s">
        <v>25</v>
      </c>
      <c r="G9" t="s">
        <v>6</v>
      </c>
      <c r="H9">
        <f>VLOOKUP(G9,A1:E9,4,0)</f>
        <v>50000</v>
      </c>
    </row>
    <row r="11" spans="1:10" ht="15" thickBot="1" x14ac:dyDescent="0.4">
      <c r="F11" t="s">
        <v>101</v>
      </c>
      <c r="G11" t="s">
        <v>100</v>
      </c>
      <c r="H11" t="s">
        <v>2</v>
      </c>
    </row>
    <row r="12" spans="1:10" x14ac:dyDescent="0.35">
      <c r="G12" t="s">
        <v>8</v>
      </c>
      <c r="H12" t="str">
        <f>VLOOKUP(G12,A1:E9,3,0)</f>
        <v>IT</v>
      </c>
      <c r="J12" s="3" t="s">
        <v>31</v>
      </c>
    </row>
    <row r="13" spans="1:10" x14ac:dyDescent="0.35">
      <c r="J13" s="4" t="s">
        <v>32</v>
      </c>
    </row>
    <row r="14" spans="1:10" x14ac:dyDescent="0.35">
      <c r="J14" s="4" t="s">
        <v>92</v>
      </c>
    </row>
    <row r="15" spans="1:10" x14ac:dyDescent="0.35">
      <c r="J15" s="4" t="s">
        <v>93</v>
      </c>
    </row>
    <row r="16" spans="1:10" x14ac:dyDescent="0.35">
      <c r="C16" s="2"/>
      <c r="J16" s="4" t="s">
        <v>94</v>
      </c>
    </row>
    <row r="17" spans="1:10" ht="15" thickBot="1" x14ac:dyDescent="0.4">
      <c r="J17" s="5" t="s">
        <v>33</v>
      </c>
    </row>
    <row r="23" spans="1:10" ht="15" thickBot="1" x14ac:dyDescent="0.4"/>
    <row r="24" spans="1:10" x14ac:dyDescent="0.35">
      <c r="A24" s="1" t="s">
        <v>34</v>
      </c>
      <c r="B24" s="1" t="s">
        <v>1</v>
      </c>
      <c r="C24" s="1" t="s">
        <v>35</v>
      </c>
      <c r="D24" s="1" t="s">
        <v>36</v>
      </c>
      <c r="E24" s="1" t="s">
        <v>37</v>
      </c>
      <c r="G24" t="s">
        <v>95</v>
      </c>
      <c r="H24" t="s">
        <v>40</v>
      </c>
      <c r="I24">
        <f>VLOOKUP(H24,A24:E29,3,0)</f>
        <v>88</v>
      </c>
      <c r="J24" s="3" t="s">
        <v>47</v>
      </c>
    </row>
    <row r="25" spans="1:10" x14ac:dyDescent="0.35">
      <c r="A25" s="1" t="s">
        <v>38</v>
      </c>
      <c r="B25" s="1" t="s">
        <v>43</v>
      </c>
      <c r="C25" s="1">
        <v>78</v>
      </c>
      <c r="D25" s="1">
        <v>82</v>
      </c>
      <c r="E25" s="1">
        <v>74</v>
      </c>
      <c r="G25" t="s">
        <v>96</v>
      </c>
      <c r="H25" t="s">
        <v>39</v>
      </c>
      <c r="I25">
        <f>VLOOKUP(H25,A24:E29,4,0)</f>
        <v>70</v>
      </c>
      <c r="J25" s="4" t="s">
        <v>48</v>
      </c>
    </row>
    <row r="26" spans="1:10" x14ac:dyDescent="0.35">
      <c r="A26" s="1" t="s">
        <v>39</v>
      </c>
      <c r="B26" s="1" t="s">
        <v>44</v>
      </c>
      <c r="C26" s="1">
        <v>65</v>
      </c>
      <c r="D26" s="1">
        <v>70</v>
      </c>
      <c r="E26" s="1">
        <v>68</v>
      </c>
      <c r="G26" t="s">
        <v>97</v>
      </c>
      <c r="H26" t="s">
        <v>42</v>
      </c>
      <c r="I26">
        <f>VLOOKUP(H26,A24:E29,5,0)</f>
        <v>89</v>
      </c>
      <c r="J26" s="4" t="s">
        <v>49</v>
      </c>
    </row>
    <row r="27" spans="1:10" x14ac:dyDescent="0.35">
      <c r="A27" s="1" t="s">
        <v>40</v>
      </c>
      <c r="B27" s="1" t="s">
        <v>45</v>
      </c>
      <c r="C27" s="1">
        <v>88</v>
      </c>
      <c r="D27" s="1">
        <v>91</v>
      </c>
      <c r="E27" s="1">
        <v>85</v>
      </c>
      <c r="G27" t="s">
        <v>98</v>
      </c>
      <c r="H27" t="s">
        <v>102</v>
      </c>
      <c r="I27" t="s">
        <v>1</v>
      </c>
      <c r="J27" s="4" t="s">
        <v>50</v>
      </c>
    </row>
    <row r="28" spans="1:10" ht="15" thickBot="1" x14ac:dyDescent="0.4">
      <c r="A28" s="1" t="s">
        <v>41</v>
      </c>
      <c r="B28" s="1" t="s">
        <v>17</v>
      </c>
      <c r="C28" s="1">
        <v>72</v>
      </c>
      <c r="D28" s="1">
        <v>75</v>
      </c>
      <c r="E28" s="1">
        <v>70</v>
      </c>
      <c r="H28" t="s">
        <v>42</v>
      </c>
      <c r="I28" t="str">
        <f>VLOOKUP(H28,A24:E29,2,0)</f>
        <v>Kiran</v>
      </c>
      <c r="J28" s="5" t="s">
        <v>51</v>
      </c>
    </row>
    <row r="29" spans="1:10" x14ac:dyDescent="0.35">
      <c r="A29" s="1" t="s">
        <v>42</v>
      </c>
      <c r="B29" s="1" t="s">
        <v>46</v>
      </c>
      <c r="C29" s="1">
        <v>90</v>
      </c>
      <c r="D29" s="1">
        <v>93</v>
      </c>
      <c r="E29" s="1">
        <v>89</v>
      </c>
      <c r="G29" t="s">
        <v>99</v>
      </c>
      <c r="H29" t="s">
        <v>102</v>
      </c>
      <c r="I29" t="s">
        <v>103</v>
      </c>
    </row>
    <row r="30" spans="1:10" x14ac:dyDescent="0.35">
      <c r="H30" t="s">
        <v>40</v>
      </c>
      <c r="I30">
        <f>VLOOKUP(H30,A24:E29,4,0)</f>
        <v>91</v>
      </c>
    </row>
    <row r="37" spans="1:10" ht="15" thickBot="1" x14ac:dyDescent="0.4"/>
    <row r="38" spans="1:10" x14ac:dyDescent="0.35">
      <c r="A38" s="1" t="s">
        <v>52</v>
      </c>
      <c r="B38" s="1" t="s">
        <v>53</v>
      </c>
      <c r="C38" s="1" t="s">
        <v>54</v>
      </c>
      <c r="D38" s="1" t="s">
        <v>55</v>
      </c>
      <c r="E38" s="1" t="s">
        <v>56</v>
      </c>
      <c r="F38" s="1" t="s">
        <v>57</v>
      </c>
      <c r="G38" s="6" t="s">
        <v>95</v>
      </c>
      <c r="H38" s="6" t="s">
        <v>55</v>
      </c>
      <c r="I38">
        <f>HLOOKUP(H38,A38:F41,3,0)</f>
        <v>1200</v>
      </c>
      <c r="J38" s="3" t="s">
        <v>83</v>
      </c>
    </row>
    <row r="39" spans="1:10" x14ac:dyDescent="0.35">
      <c r="A39" s="1" t="s">
        <v>58</v>
      </c>
      <c r="B39" s="1" t="s">
        <v>59</v>
      </c>
      <c r="C39" s="1" t="s">
        <v>60</v>
      </c>
      <c r="D39" s="1" t="s">
        <v>61</v>
      </c>
      <c r="E39" s="1" t="s">
        <v>62</v>
      </c>
      <c r="F39" s="1" t="s">
        <v>63</v>
      </c>
      <c r="G39" s="6" t="s">
        <v>96</v>
      </c>
      <c r="H39" s="6" t="s">
        <v>56</v>
      </c>
      <c r="I39">
        <f>HLOOKUP(H39,A38:F41,4,0)</f>
        <v>40</v>
      </c>
      <c r="J39" s="4" t="s">
        <v>84</v>
      </c>
    </row>
    <row r="40" spans="1:10" x14ac:dyDescent="0.35">
      <c r="A40" s="1" t="s">
        <v>64</v>
      </c>
      <c r="B40" s="1">
        <v>55000</v>
      </c>
      <c r="C40" s="1">
        <v>500</v>
      </c>
      <c r="D40" s="1">
        <v>1200</v>
      </c>
      <c r="E40" s="1">
        <v>9000</v>
      </c>
      <c r="F40" s="1">
        <v>7000</v>
      </c>
      <c r="G40" t="s">
        <v>97</v>
      </c>
      <c r="H40" t="s">
        <v>53</v>
      </c>
      <c r="I40" t="str">
        <f>HLOOKUP(H40,A38:F41,2,0)</f>
        <v>Laptop</v>
      </c>
      <c r="J40" s="4" t="s">
        <v>85</v>
      </c>
    </row>
    <row r="41" spans="1:10" x14ac:dyDescent="0.35">
      <c r="A41" s="1" t="s">
        <v>65</v>
      </c>
      <c r="B41" s="1">
        <v>25</v>
      </c>
      <c r="C41" s="1">
        <v>150</v>
      </c>
      <c r="D41" s="1">
        <v>80</v>
      </c>
      <c r="E41" s="1">
        <v>40</v>
      </c>
      <c r="F41" s="1">
        <v>35</v>
      </c>
      <c r="G41" t="s">
        <v>98</v>
      </c>
      <c r="H41" t="s">
        <v>104</v>
      </c>
      <c r="I41" t="s">
        <v>64</v>
      </c>
      <c r="J41" s="4" t="s">
        <v>86</v>
      </c>
    </row>
    <row r="42" spans="1:10" ht="15" thickBot="1" x14ac:dyDescent="0.4">
      <c r="H42" t="s">
        <v>55</v>
      </c>
      <c r="I42">
        <f>HLOOKUP(H42,B38:F41,3,0)</f>
        <v>1200</v>
      </c>
      <c r="J42" s="5" t="s">
        <v>87</v>
      </c>
    </row>
    <row r="43" spans="1:10" x14ac:dyDescent="0.35">
      <c r="G43" t="s">
        <v>99</v>
      </c>
      <c r="H43" t="s">
        <v>104</v>
      </c>
      <c r="I43" t="s">
        <v>65</v>
      </c>
    </row>
    <row r="44" spans="1:10" x14ac:dyDescent="0.35">
      <c r="H44" t="s">
        <v>56</v>
      </c>
      <c r="I44">
        <f>HLOOKUP(H44,A38:F41,4,0)</f>
        <v>40</v>
      </c>
    </row>
    <row r="46" spans="1:10" ht="15" thickBot="1" x14ac:dyDescent="0.4"/>
    <row r="47" spans="1:10" x14ac:dyDescent="0.35">
      <c r="J47" s="3" t="s">
        <v>88</v>
      </c>
    </row>
    <row r="48" spans="1:10" x14ac:dyDescent="0.35">
      <c r="A48" s="1" t="s">
        <v>66</v>
      </c>
      <c r="B48" s="1" t="s">
        <v>1</v>
      </c>
      <c r="C48" s="1" t="s">
        <v>67</v>
      </c>
      <c r="D48" s="1" t="s">
        <v>68</v>
      </c>
      <c r="F48" t="s">
        <v>95</v>
      </c>
      <c r="G48" t="s">
        <v>75</v>
      </c>
      <c r="H48" t="str">
        <f>VLOOKUP(G48,A48:D53,3,0)</f>
        <v>SQL</v>
      </c>
      <c r="J48" s="4" t="s">
        <v>89</v>
      </c>
    </row>
    <row r="49" spans="1:10" x14ac:dyDescent="0.35">
      <c r="A49" s="1" t="s">
        <v>69</v>
      </c>
      <c r="B49" s="1" t="s">
        <v>70</v>
      </c>
      <c r="C49" s="1" t="s">
        <v>71</v>
      </c>
      <c r="D49" s="1">
        <v>3000</v>
      </c>
      <c r="F49" t="s">
        <v>96</v>
      </c>
      <c r="G49" t="s">
        <v>78</v>
      </c>
      <c r="H49">
        <f>VLOOKUP(G49,A48:D53,4,0)</f>
        <v>6000</v>
      </c>
      <c r="J49" s="4" t="s">
        <v>90</v>
      </c>
    </row>
    <row r="50" spans="1:10" ht="15" thickBot="1" x14ac:dyDescent="0.4">
      <c r="A50" s="1" t="s">
        <v>72</v>
      </c>
      <c r="B50" s="1" t="s">
        <v>73</v>
      </c>
      <c r="C50" s="1" t="s">
        <v>74</v>
      </c>
      <c r="D50" s="1">
        <v>5000</v>
      </c>
      <c r="F50" t="s">
        <v>97</v>
      </c>
      <c r="G50" t="s">
        <v>105</v>
      </c>
      <c r="H50" t="s">
        <v>1</v>
      </c>
      <c r="J50" s="5" t="s">
        <v>91</v>
      </c>
    </row>
    <row r="51" spans="1:10" x14ac:dyDescent="0.35">
      <c r="A51" s="1" t="s">
        <v>75</v>
      </c>
      <c r="B51" s="1" t="s">
        <v>76</v>
      </c>
      <c r="C51" s="1" t="s">
        <v>77</v>
      </c>
      <c r="D51" s="1">
        <v>4000</v>
      </c>
      <c r="G51" t="s">
        <v>78</v>
      </c>
      <c r="H51" t="str">
        <f>VLOOKUP(G51,A48:D53,2,0)</f>
        <v>Neha</v>
      </c>
    </row>
    <row r="52" spans="1:10" x14ac:dyDescent="0.35">
      <c r="A52" s="1" t="s">
        <v>78</v>
      </c>
      <c r="B52" s="1" t="s">
        <v>14</v>
      </c>
      <c r="C52" s="1" t="s">
        <v>81</v>
      </c>
      <c r="D52" s="1">
        <v>6000</v>
      </c>
      <c r="F52" t="s">
        <v>98</v>
      </c>
      <c r="G52" t="s">
        <v>105</v>
      </c>
      <c r="H52" t="s">
        <v>68</v>
      </c>
    </row>
    <row r="53" spans="1:10" x14ac:dyDescent="0.35">
      <c r="A53" s="1" t="s">
        <v>79</v>
      </c>
      <c r="B53" s="1" t="s">
        <v>80</v>
      </c>
      <c r="C53" s="1" t="s">
        <v>82</v>
      </c>
      <c r="D53" s="1">
        <v>4500</v>
      </c>
      <c r="G53" t="s">
        <v>72</v>
      </c>
      <c r="H53">
        <f>VLOOKUP(G53,A48:D53,4,0)</f>
        <v>5000</v>
      </c>
    </row>
  </sheetData>
  <dataValidations count="4">
    <dataValidation type="list" allowBlank="1" showInputMessage="1" showErrorMessage="1" sqref="G9 G12" xr:uid="{58C7A3F3-4577-4C11-BBF8-EE674DA01C4E}">
      <formula1>$A$2:$A$9</formula1>
    </dataValidation>
    <dataValidation type="list" allowBlank="1" showInputMessage="1" showErrorMessage="1" sqref="H28 H30" xr:uid="{3D4F7A75-BE70-48E4-AB71-B14244E9BC6B}">
      <formula1>$A$25:$A$29</formula1>
    </dataValidation>
    <dataValidation type="list" allowBlank="1" showInputMessage="1" showErrorMessage="1" sqref="H42 H44" xr:uid="{31D0479A-448A-4DD5-997B-CF9F5F9B57AA}">
      <formula1>$B$38:$F$38</formula1>
    </dataValidation>
    <dataValidation type="list" allowBlank="1" showInputMessage="1" showErrorMessage="1" sqref="G51 G53" xr:uid="{A973BB25-FC52-4F97-A2C3-C4F2E81209A9}">
      <formula1>$A$49:$A$53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Tista Halder</cp:lastModifiedBy>
  <dcterms:created xsi:type="dcterms:W3CDTF">2026-08-07T08:49:21Z</dcterms:created>
  <dcterms:modified xsi:type="dcterms:W3CDTF">2026-08-07T10:29:21Z</dcterms:modified>
</cp:coreProperties>
</file>