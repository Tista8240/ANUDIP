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<sst xmlns="http://schemas.openxmlformats.org/spreadsheetml/2006/main" count="60" uniqueCount="45">
  <si>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</si>
  <si>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</si>
  <si>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</si>
  <si>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</si>
  <si>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</si>
  <si>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</si>
  <si>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</si>
  <si>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</si>
  <si>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1)</t>
  </si>
  <si>
    <t>PRODUCT A</t>
  </si>
  <si>
    <t>Electronics</t>
  </si>
  <si>
    <t>Product C</t>
  </si>
  <si>
    <t>1. Use INDEX and MATCH to find the sales for Product C in March.</t>
  </si>
  <si>
    <t>PRODUCT B</t>
  </si>
  <si>
    <t>Furniture</t>
  </si>
  <si>
    <t>2. Use INDEX and MATCH to find the category for Product E.</t>
  </si>
  <si>
    <t>PRODUCT C</t>
  </si>
  <si>
    <t>2)</t>
  </si>
  <si>
    <t>3. Use INDEX and MATCH to find the maximum sales for Product B across all months</t>
  </si>
  <si>
    <t>PRODUCT D</t>
  </si>
  <si>
    <t>Clothing</t>
  </si>
  <si>
    <t>Product E</t>
  </si>
  <si>
    <t>4. Use INDEX and MATCH to find the month with the maximum sales for Product A.</t>
  </si>
  <si>
    <t>PRODUCT E</t>
  </si>
  <si>
    <t>5. Use INDEX, MATCH, and SUMIF to sum the sales for all products in the "Electronics" category for April.</t>
  </si>
  <si>
    <t>PRODUCT F</t>
  </si>
  <si>
    <t>3)</t>
  </si>
  <si>
    <t>Max Sales</t>
  </si>
  <si>
    <t>6. Use INDEX and MATCH to calculate the average sales for Product D across all months.</t>
  </si>
  <si>
    <t>Product B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</si>
  <si>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</si>
  <si>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</si>
  <si>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4)</t>
  </si>
  <si>
    <t>5)</t>
  </si>
  <si>
    <t>Total Sales of Electronics</t>
  </si>
  <si>
    <t>6)</t>
  </si>
  <si>
    <t>Average Sale</t>
  </si>
  <si>
    <t>Product D</t>
  </si>
  <si>
    <t>7)</t>
  </si>
  <si>
    <t>Product ID</t>
  </si>
  <si>
    <t>Sales</t>
  </si>
  <si>
    <t>8)</t>
  </si>
  <si>
    <t>Month</t>
  </si>
  <si>
    <t>Sale</t>
  </si>
  <si>
    <t>Product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</si>
</sst>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Fill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zoomScale="73" zoomScaleNormal="73" topLeftCell="H1" workbookViewId="0">
      <selection activeCell="L27" sqref="L27"/>
    </sheetView>
  </sheetViews>
  <sheetFormatPr defaultColWidth="9" defaultRowHeight="14.5"/>
  <cols>
    <col min="2" max="2" width="10.7818181818182" customWidth="1"/>
    <col min="3" max="3" width="9.89090909090909" customWidth="1"/>
    <col min="10" max="10" width="10.6636363636364" customWidth="1"/>
    <col min="11" max="11" width="25.9" customWidth="1"/>
    <col min="15" max="15" width="131.94545454545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1</v>
      </c>
      <c r="K1" s="3"/>
    </row>
    <row r="2" spans="1:15">
      <c r="A2" s="4">
        <v>101</v>
      </c>
      <c r="B2" s="4" t="s">
        <v>9</v>
      </c>
      <c r="C2" s="4" t="s">
        <v>10</v>
      </c>
      <c r="D2" s="4">
        <v>120</v>
      </c>
      <c r="E2" s="4">
        <v>130</v>
      </c>
      <c r="F2" s="4">
        <v>140</v>
      </c>
      <c r="G2" s="4">
        <v>150</v>
      </c>
      <c r="H2" s="4">
        <v>160</v>
      </c>
      <c r="J2" t="s">
        <v>11</v>
      </c>
      <c r="K2">
        <f>INDEX(F2:F7,MATCH("PRODUCT C",B2:B7,0))</f>
        <v>220</v>
      </c>
      <c r="O2" s="1" t="s">
        <v>12</v>
      </c>
    </row>
    <row r="3" spans="1:15">
      <c r="A3" s="4">
        <v>102</v>
      </c>
      <c r="B3" s="4" t="s">
        <v>13</v>
      </c>
      <c r="C3" s="4" t="s">
        <v>14</v>
      </c>
      <c r="D3" s="4">
        <v>150</v>
      </c>
      <c r="E3" s="4">
        <v>160</v>
      </c>
      <c r="F3" s="4">
        <v>170</v>
      </c>
      <c r="G3" s="4">
        <v>180</v>
      </c>
      <c r="H3" s="4">
        <v>190</v>
      </c>
      <c r="O3" s="1" t="s">
        <v>15</v>
      </c>
    </row>
    <row r="4" spans="1:15">
      <c r="A4" s="4">
        <v>103</v>
      </c>
      <c r="B4" s="4" t="s">
        <v>16</v>
      </c>
      <c r="C4" s="4" t="s">
        <v>10</v>
      </c>
      <c r="D4" s="4">
        <v>200</v>
      </c>
      <c r="E4" s="4">
        <v>210</v>
      </c>
      <c r="F4" s="4">
        <v>220</v>
      </c>
      <c r="G4" s="4">
        <v>230</v>
      </c>
      <c r="H4" s="4">
        <v>240</v>
      </c>
      <c r="I4" s="2" t="s">
        <v>17</v>
      </c>
      <c r="J4" s="2" t="s">
        <v>1</v>
      </c>
      <c r="K4" s="2" t="s">
        <v>2</v>
      </c>
      <c r="O4" s="1" t="s">
        <v>18</v>
      </c>
    </row>
    <row r="5" spans="1:15">
      <c r="A5" s="4">
        <v>104</v>
      </c>
      <c r="B5" s="4" t="s">
        <v>19</v>
      </c>
      <c r="C5" s="4" t="s">
        <v>20</v>
      </c>
      <c r="D5" s="4">
        <v>90</v>
      </c>
      <c r="E5" s="4">
        <v>100</v>
      </c>
      <c r="F5" s="4">
        <v>110</v>
      </c>
      <c r="G5" s="4">
        <v>120</v>
      </c>
      <c r="H5" s="4">
        <v>130</v>
      </c>
      <c r="J5" t="s">
        <v>21</v>
      </c>
      <c r="K5" t="str">
        <f>INDEX(C2:C7,MATCH("PRODUCT E",B2:B7,0))</f>
        <v>Furniture</v>
      </c>
      <c r="O5" s="1" t="s">
        <v>22</v>
      </c>
    </row>
    <row r="6" spans="1:15">
      <c r="A6" s="4">
        <v>105</v>
      </c>
      <c r="B6" s="4" t="s">
        <v>23</v>
      </c>
      <c r="C6" s="4" t="s">
        <v>14</v>
      </c>
      <c r="D6" s="4">
        <v>220</v>
      </c>
      <c r="E6" s="4">
        <v>230</v>
      </c>
      <c r="F6" s="4">
        <v>240</v>
      </c>
      <c r="G6" s="4">
        <v>250</v>
      </c>
      <c r="H6" s="4">
        <v>260</v>
      </c>
      <c r="O6" s="1" t="s">
        <v>24</v>
      </c>
    </row>
    <row r="7" spans="1:15">
      <c r="A7" s="4">
        <v>106</v>
      </c>
      <c r="B7" s="4" t="s">
        <v>25</v>
      </c>
      <c r="C7" s="4" t="s">
        <v>10</v>
      </c>
      <c r="D7" s="4">
        <v>130</v>
      </c>
      <c r="E7" s="4">
        <v>140</v>
      </c>
      <c r="F7" s="4">
        <v>150</v>
      </c>
      <c r="G7" s="4">
        <v>160</v>
      </c>
      <c r="H7" s="4">
        <v>170</v>
      </c>
      <c r="I7" s="2" t="s">
        <v>26</v>
      </c>
      <c r="J7" s="2" t="s">
        <v>1</v>
      </c>
      <c r="K7" s="2" t="s">
        <v>27</v>
      </c>
      <c r="O7" s="1" t="s">
        <v>28</v>
      </c>
    </row>
    <row r="8" spans="1:15">
      <c r="J8" t="s">
        <v>29</v>
      </c>
      <c r="K8">
        <f>MAX(INDEX(D2:H7,MATCH("PRODUCT B",B2:B7,0),0))</f>
        <v>190</v>
      </c>
      <c r="O8" s="1" t="s">
        <v>30</v>
      </c>
    </row>
    <row r="9" spans="1:15">
      <c r="O9" s="1" t="s">
        <v>31</v>
      </c>
    </row>
    <row r="10" spans="1:15">
      <c r="I10" s="2" t="s">
        <v>32</v>
      </c>
      <c r="J10" s="2" t="s">
        <v>1</v>
      </c>
      <c r="K10" s="2" t="s">
        <v>27</v>
      </c>
    </row>
    <row r="11" spans="1:15">
      <c r="J11" t="s">
        <v>9</v>
      </c>
      <c r="K11" t="str">
        <f>INDEX(D1:H1,MATCH(MAX(INDEX(D2:H7,MATCH("PRODUCT A",B2:B7,0),0)),INDEX(D2:H7,MATCH("PRODUCT A",B2:B7,0),0),0))</f>
        <v>May Sales</v>
      </c>
    </row>
    <row r="13" spans="1:15">
      <c r="I13" s="2" t="s">
        <v>33</v>
      </c>
      <c r="J13" s="2" t="s">
        <v>2</v>
      </c>
      <c r="K13" s="2" t="s">
        <v>34</v>
      </c>
    </row>
    <row r="14" spans="1:15">
      <c r="J14" t="s">
        <v>10</v>
      </c>
      <c r="K14">
        <f>SUMIF($C$2:$C$7,"Electronics",INDEX($D$2:$H$7,0,MATCH("Apr Sales",$D$1:$H$1,0)))</f>
        <v>540</v>
      </c>
    </row>
    <row r="17" spans="9:12">
      <c r="I17" s="2" t="s">
        <v>35</v>
      </c>
      <c r="J17" s="2" t="s">
        <v>1</v>
      </c>
      <c r="K17" s="2" t="s">
        <v>36</v>
      </c>
    </row>
    <row r="18" spans="9:12">
      <c r="J18" t="s">
        <v>37</v>
      </c>
      <c r="K18">
        <f>AVERAGE(INDEX($D$2:$H$7,MATCH("Product D",$B$2:$B$7,0),0))</f>
        <v>110</v>
      </c>
    </row>
    <row r="21" spans="9:12">
      <c r="I21" s="2" t="s">
        <v>38</v>
      </c>
      <c r="J21" s="2" t="s">
        <v>39</v>
      </c>
      <c r="K21" s="2" t="s">
        <v>40</v>
      </c>
    </row>
    <row r="22" spans="9:12">
      <c r="J22">
        <v>105</v>
      </c>
      <c r="K22" cm="1">
        <f t="array" ref="K22">INDEX($D$2:$H$7,MATCH(105,$A$2:$A$7,0),MATCH("May Sales",$D$1:$H$1,0))</f>
        <v>260</v>
      </c>
    </row>
    <row r="25" spans="9:12">
      <c r="I25" s="2" t="s">
        <v>41</v>
      </c>
      <c r="J25" s="2" t="s">
        <v>1</v>
      </c>
      <c r="K25" s="2" t="s">
        <v>42</v>
      </c>
      <c r="L25" s="2" t="s">
        <v>43</v>
      </c>
    </row>
    <row r="26" spans="9:12">
      <c r="J26" t="s">
        <v>44</v>
      </c>
      <c r="K26" t="s">
        <v>5</v>
      </c>
      <c r="L26" cm="1">
        <f t="array" ref="L26">INDEX($D$2:$H$7,MATCH(J26,$B$2:$B$7,0),MATCH(K26,$D$1:$H$1,0))</f>
        <v>140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Dutta</dc:creator>
  <cp:lastModifiedBy>Tista halder</cp:lastModifiedBy>
  <dcterms:created xsi:type="dcterms:W3CDTF">2026-08-12T08:38:00Z</dcterms:created>
  <dcterms:modified xsi:type="dcterms:W3CDTF">2026-08-18T16:28:15Z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C41CEBA8BB2848E0B2320C32FECA3235_13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